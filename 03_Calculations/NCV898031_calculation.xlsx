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MI3BP\Documents\SZAKDOLGOZAT\"/>
    </mc:Choice>
  </mc:AlternateContent>
  <xr:revisionPtr revIDLastSave="0" documentId="13_ncr:1_{6EC210D7-5CCB-41BC-8A64-21C16556F820}" xr6:coauthVersionLast="47" xr6:coauthVersionMax="47" xr10:uidLastSave="{00000000-0000-0000-0000-000000000000}"/>
  <bookViews>
    <workbookView xWindow="-110" yWindow="-110" windowWidth="19420" windowHeight="10420" firstSheet="4" activeTab="8" xr2:uid="{00000000-000D-0000-FFFF-FFFF00000000}"/>
  </bookViews>
  <sheets>
    <sheet name="1. Introduction" sheetId="1" r:id="rId1"/>
    <sheet name="2. Design Parameters" sheetId="2" r:id="rId2"/>
    <sheet name="3. Feedback Resistors" sheetId="3" r:id="rId3"/>
    <sheet name="4. Boost Inductor" sheetId="4" r:id="rId4"/>
    <sheet name="6. Output Capacitors" sheetId="6" r:id="rId5"/>
    <sheet name="5. Current Sense Resistor" sheetId="5" r:id="rId6"/>
    <sheet name="Input Capacitor" sheetId="7" state="hidden" r:id="rId7"/>
    <sheet name="7. Diode" sheetId="8" r:id="rId8"/>
    <sheet name="8. MOSFET" sheetId="9" r:id="rId9"/>
    <sheet name="9. Loop Compensation" sheetId="10" r:id="rId10"/>
    <sheet name="Design Information" sheetId="11" state="hidden" r:id="rId11"/>
    <sheet name="Calculations" sheetId="12" state="hidden" r:id="rId12"/>
  </sheets>
  <definedNames>
    <definedName name="C0">'9. Loop Compensation'!$T$15</definedName>
    <definedName name="comp_C1">'9. Loop Compensation'!$T$23</definedName>
    <definedName name="comp_C2">'9. Loop Compensation'!$T$24</definedName>
    <definedName name="comp_R2">'9. Loop Compensation'!$B$8</definedName>
    <definedName name="Dconv_max">Calculations!$D$2</definedName>
    <definedName name="Dmax_min">'2. Design Parameters'!$B$8</definedName>
    <definedName name="Dmax_nom">'2. Design Parameters'!$C$8</definedName>
    <definedName name="Fsw_max">'2. Design Parameters'!$D$6</definedName>
    <definedName name="Fsw_min">'2. Design Parameters'!$B$6</definedName>
    <definedName name="Fsw_nom">'2. Design Parameters'!$C$6</definedName>
    <definedName name="gm">'9. Loop Compensation'!$T$18</definedName>
    <definedName name="IavgL">'4. Boost Inductor'!$B$3</definedName>
    <definedName name="Ioutmax">'2. Design Parameters'!$D$5</definedName>
    <definedName name="IPeakL">'4. Boost Inductor'!$E$3</definedName>
    <definedName name="Iripple">'4. Boost Inductor'!$B$8</definedName>
    <definedName name="IrmsL">'4. Boost Inductor'!$E$2</definedName>
    <definedName name="Lo">'4. Boost Inductor'!$B$11</definedName>
    <definedName name="R0">'9. Loop Compensation'!$T$16</definedName>
    <definedName name="Rlower">'3. Feedback Resistors'!$D$8</definedName>
    <definedName name="Rotaesd">'9. Loop Compensation'!$T$17</definedName>
    <definedName name="Rout">'9. Loop Compensation'!$T$6</definedName>
    <definedName name="Rupper">'3. Feedback Resistors'!$D$7</definedName>
    <definedName name="SC_nom">'2. Design Parameters'!$C$7</definedName>
    <definedName name="Tsw">Calculations!$C$3</definedName>
    <definedName name="vcl_max">'2. Design Parameters'!$D$10</definedName>
    <definedName name="vcl_min">'2. Design Parameters'!$B$10</definedName>
    <definedName name="vcl_nom">'2. Design Parameters'!$C$10</definedName>
    <definedName name="Vdrv_nom">'2. Design Parameters'!$C$9</definedName>
    <definedName name="Vf">'7. Diode'!$B$1</definedName>
    <definedName name="Vin_max">'2. Design Parameters'!$D$3</definedName>
    <definedName name="Vin_min">'2. Design Parameters'!$B$3</definedName>
    <definedName name="Vin_nominal">'2. Design Parameters'!$C$3</definedName>
    <definedName name="Vout">'2. Design Parameters'!$C$4</definedName>
    <definedName name="wp1e">'9. Loop Compensation'!$T$21</definedName>
    <definedName name="wp2e">'9. Loop Compensation'!$T$22</definedName>
    <definedName name="wz1e">'9. Loop Compensation'!$T$19</definedName>
    <definedName name="wz2e">'9. Loop Compensation'!$T$20</definedName>
  </definedNames>
  <calcPr calcId="191029"/>
  <customWorkbookViews>
    <customWorkbookView name="ffx7zn - Personal View" guid="{25ED444C-8CCE-464F-9E26-1EDA12EA830D}" mergeInterval="0" personalView="1" maximized="1" xWindow="1" yWindow="1" windowWidth="1481" windowHeight="859" activeSheetId="1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D7" i="9"/>
  <c r="D6" i="9"/>
  <c r="E2" i="4"/>
  <c r="B3" i="4"/>
  <c r="B8" i="4"/>
  <c r="B14" i="9"/>
  <c r="B13" i="9"/>
  <c r="B6" i="4"/>
  <c r="B3" i="9"/>
  <c r="B12" i="9"/>
  <c r="B5" i="10"/>
  <c r="B6" i="6"/>
  <c r="C15" i="6"/>
  <c r="B5" i="8"/>
  <c r="B8" i="3"/>
  <c r="B5" i="6"/>
  <c r="B2" i="10"/>
  <c r="B4" i="5"/>
  <c r="B11" i="4"/>
  <c r="D1" i="9"/>
  <c r="T24" i="10"/>
  <c r="T23" i="10"/>
  <c r="T20" i="10" s="1"/>
  <c r="T16" i="10"/>
  <c r="T15" i="10"/>
  <c r="E4" i="10"/>
  <c r="B14" i="10"/>
  <c r="B13" i="10"/>
  <c r="B12" i="10"/>
  <c r="D8" i="3"/>
  <c r="D7" i="3"/>
  <c r="Z3" i="10"/>
  <c r="AA3" i="10" s="1"/>
  <c r="Z4" i="10"/>
  <c r="AA4" i="10" s="1"/>
  <c r="Z5" i="10"/>
  <c r="AA5" i="10" s="1"/>
  <c r="Z6" i="10"/>
  <c r="AA6" i="10" s="1"/>
  <c r="Z7" i="10"/>
  <c r="AA7" i="10" s="1"/>
  <c r="Z8" i="10"/>
  <c r="AA8" i="10" s="1"/>
  <c r="Z9" i="10"/>
  <c r="AA9" i="10" s="1"/>
  <c r="Z10" i="10"/>
  <c r="AA10" i="10" s="1"/>
  <c r="Z11" i="10"/>
  <c r="AA11" i="10" s="1"/>
  <c r="Z12" i="10"/>
  <c r="AA12" i="10" s="1"/>
  <c r="Z13" i="10"/>
  <c r="AA13" i="10" s="1"/>
  <c r="Z14" i="10"/>
  <c r="AA14" i="10" s="1"/>
  <c r="Z15" i="10"/>
  <c r="AA15" i="10" s="1"/>
  <c r="Z16" i="10"/>
  <c r="AA16" i="10" s="1"/>
  <c r="Z17" i="10"/>
  <c r="AA17" i="10" s="1"/>
  <c r="Z18" i="10"/>
  <c r="AA18" i="10" s="1"/>
  <c r="Z19" i="10"/>
  <c r="AA19" i="10" s="1"/>
  <c r="Z20" i="10"/>
  <c r="AA20" i="10" s="1"/>
  <c r="Z21" i="10"/>
  <c r="AA21" i="10" s="1"/>
  <c r="Z22" i="10"/>
  <c r="AA22" i="10" s="1"/>
  <c r="Z23" i="10"/>
  <c r="AA23" i="10" s="1"/>
  <c r="Z24" i="10"/>
  <c r="AA24" i="10" s="1"/>
  <c r="Z25" i="10"/>
  <c r="AA25" i="10" s="1"/>
  <c r="Z26" i="10"/>
  <c r="AA26" i="10" s="1"/>
  <c r="Z27" i="10"/>
  <c r="AA27" i="10" s="1"/>
  <c r="Z28" i="10"/>
  <c r="AA28" i="10" s="1"/>
  <c r="Z29" i="10"/>
  <c r="AA29" i="10" s="1"/>
  <c r="Z30" i="10"/>
  <c r="AA30" i="10" s="1"/>
  <c r="Z31" i="10"/>
  <c r="AA31" i="10" s="1"/>
  <c r="Z32" i="10"/>
  <c r="AA32" i="10" s="1"/>
  <c r="Z33" i="10"/>
  <c r="AA33" i="10" s="1"/>
  <c r="Z34" i="10"/>
  <c r="AA34" i="10" s="1"/>
  <c r="Z35" i="10"/>
  <c r="AA35" i="10" s="1"/>
  <c r="Z36" i="10"/>
  <c r="AA36" i="10" s="1"/>
  <c r="Z37" i="10"/>
  <c r="AA37" i="10" s="1"/>
  <c r="Z38" i="10"/>
  <c r="AA38" i="10" s="1"/>
  <c r="Z39" i="10"/>
  <c r="AA39" i="10" s="1"/>
  <c r="Z40" i="10"/>
  <c r="AA40" i="10" s="1"/>
  <c r="Z41" i="10"/>
  <c r="AA41" i="10" s="1"/>
  <c r="Z42" i="10"/>
  <c r="AA42" i="10" s="1"/>
  <c r="Z43" i="10"/>
  <c r="AA43" i="10" s="1"/>
  <c r="Z44" i="10"/>
  <c r="AA44" i="10" s="1"/>
  <c r="Z45" i="10"/>
  <c r="AA45" i="10" s="1"/>
  <c r="Z46" i="10"/>
  <c r="AA46" i="10" s="1"/>
  <c r="Z47" i="10"/>
  <c r="AA47" i="10" s="1"/>
  <c r="Z48" i="10"/>
  <c r="AA48" i="10" s="1"/>
  <c r="Z49" i="10"/>
  <c r="AA49" i="10" s="1"/>
  <c r="Z50" i="10"/>
  <c r="AA50" i="10" s="1"/>
  <c r="Z51" i="10"/>
  <c r="AA51" i="10" s="1"/>
  <c r="Z52" i="10"/>
  <c r="AA52" i="10" s="1"/>
  <c r="Z53" i="10"/>
  <c r="AA53" i="10" s="1"/>
  <c r="Z54" i="10"/>
  <c r="AA54" i="10" s="1"/>
  <c r="Z55" i="10"/>
  <c r="AA55" i="10" s="1"/>
  <c r="Z56" i="10"/>
  <c r="AA56" i="10" s="1"/>
  <c r="Z57" i="10"/>
  <c r="AA57" i="10" s="1"/>
  <c r="Z58" i="10"/>
  <c r="AA58" i="10" s="1"/>
  <c r="Z59" i="10"/>
  <c r="AA59" i="10" s="1"/>
  <c r="Z60" i="10"/>
  <c r="AA60" i="10" s="1"/>
  <c r="Z61" i="10"/>
  <c r="AA61" i="10" s="1"/>
  <c r="Z62" i="10"/>
  <c r="AA62" i="10" s="1"/>
  <c r="Z63" i="10"/>
  <c r="AA63" i="10" s="1"/>
  <c r="Z64" i="10"/>
  <c r="AA64" i="10" s="1"/>
  <c r="Z65" i="10"/>
  <c r="AA65" i="10" s="1"/>
  <c r="Z66" i="10"/>
  <c r="AA66" i="10" s="1"/>
  <c r="Z67" i="10"/>
  <c r="AA67" i="10" s="1"/>
  <c r="Z68" i="10"/>
  <c r="AA68" i="10" s="1"/>
  <c r="Z69" i="10"/>
  <c r="AA69" i="10" s="1"/>
  <c r="Z70" i="10"/>
  <c r="AA70" i="10" s="1"/>
  <c r="Z71" i="10"/>
  <c r="AA71" i="10" s="1"/>
  <c r="Z72" i="10"/>
  <c r="AA72" i="10" s="1"/>
  <c r="Z73" i="10"/>
  <c r="AA73" i="10" s="1"/>
  <c r="Z74" i="10"/>
  <c r="AA74" i="10" s="1"/>
  <c r="Z75" i="10"/>
  <c r="AA75" i="10" s="1"/>
  <c r="Z76" i="10"/>
  <c r="AA76" i="10" s="1"/>
  <c r="Z77" i="10"/>
  <c r="AA77" i="10" s="1"/>
  <c r="Z78" i="10"/>
  <c r="AA78" i="10" s="1"/>
  <c r="Z79" i="10"/>
  <c r="AA79" i="10" s="1"/>
  <c r="Z80" i="10"/>
  <c r="AA80" i="10" s="1"/>
  <c r="Z81" i="10"/>
  <c r="AA81" i="10" s="1"/>
  <c r="Z82" i="10"/>
  <c r="AA82" i="10" s="1"/>
  <c r="Z83" i="10"/>
  <c r="AA83" i="10" s="1"/>
  <c r="Z84" i="10"/>
  <c r="AA84" i="10" s="1"/>
  <c r="Z85" i="10"/>
  <c r="AA85" i="10" s="1"/>
  <c r="Z86" i="10"/>
  <c r="AA86" i="10" s="1"/>
  <c r="Z87" i="10"/>
  <c r="AA87" i="10" s="1"/>
  <c r="Z88" i="10"/>
  <c r="AA88" i="10" s="1"/>
  <c r="Z89" i="10"/>
  <c r="AA89" i="10" s="1"/>
  <c r="Z90" i="10"/>
  <c r="AA90" i="10" s="1"/>
  <c r="Z91" i="10"/>
  <c r="AA91" i="10" s="1"/>
  <c r="Z92" i="10"/>
  <c r="AA92" i="10" s="1"/>
  <c r="Z93" i="10"/>
  <c r="AA93" i="10" s="1"/>
  <c r="Z94" i="10"/>
  <c r="AA94" i="10" s="1"/>
  <c r="Z95" i="10"/>
  <c r="AA95" i="10" s="1"/>
  <c r="Z96" i="10"/>
  <c r="AA96" i="10" s="1"/>
  <c r="Z97" i="10"/>
  <c r="AA97" i="10" s="1"/>
  <c r="Z98" i="10"/>
  <c r="AA98" i="10" s="1"/>
  <c r="Z99" i="10"/>
  <c r="AA99" i="10" s="1"/>
  <c r="Z100" i="10"/>
  <c r="AA100" i="10" s="1"/>
  <c r="Z101" i="10"/>
  <c r="AA101" i="10" s="1"/>
  <c r="Z102" i="10"/>
  <c r="AA102" i="10" s="1"/>
  <c r="Z103" i="10"/>
  <c r="AA103" i="10" s="1"/>
  <c r="Z104" i="10"/>
  <c r="AA104" i="10" s="1"/>
  <c r="Z105" i="10"/>
  <c r="AA105" i="10" s="1"/>
  <c r="Z106" i="10"/>
  <c r="AA106" i="10" s="1"/>
  <c r="Z107" i="10"/>
  <c r="AA107" i="10" s="1"/>
  <c r="Z108" i="10"/>
  <c r="AA108" i="10" s="1"/>
  <c r="Z109" i="10"/>
  <c r="AA109" i="10" s="1"/>
  <c r="Z110" i="10"/>
  <c r="AA110" i="10" s="1"/>
  <c r="Z111" i="10"/>
  <c r="AA111" i="10" s="1"/>
  <c r="Z112" i="10"/>
  <c r="AA112" i="10" s="1"/>
  <c r="Z113" i="10"/>
  <c r="AA113" i="10" s="1"/>
  <c r="Z114" i="10"/>
  <c r="AA114" i="10" s="1"/>
  <c r="Z115" i="10"/>
  <c r="AA115" i="10" s="1"/>
  <c r="Z116" i="10"/>
  <c r="AA116" i="10" s="1"/>
  <c r="Z117" i="10"/>
  <c r="AA117" i="10" s="1"/>
  <c r="Z118" i="10"/>
  <c r="AA118" i="10" s="1"/>
  <c r="Z119" i="10"/>
  <c r="AA119" i="10" s="1"/>
  <c r="Z120" i="10"/>
  <c r="AA120" i="10" s="1"/>
  <c r="Z121" i="10"/>
  <c r="AA121" i="10" s="1"/>
  <c r="Z122" i="10"/>
  <c r="AA122" i="10" s="1"/>
  <c r="Z123" i="10"/>
  <c r="AA123" i="10" s="1"/>
  <c r="Z124" i="10"/>
  <c r="AA124" i="10" s="1"/>
  <c r="Z125" i="10"/>
  <c r="AA125" i="10" s="1"/>
  <c r="Z126" i="10"/>
  <c r="AA126" i="10" s="1"/>
  <c r="Z127" i="10"/>
  <c r="AA127" i="10" s="1"/>
  <c r="Z128" i="10"/>
  <c r="AA128" i="10" s="1"/>
  <c r="Z129" i="10"/>
  <c r="AA129" i="10" s="1"/>
  <c r="Z130" i="10"/>
  <c r="AA130" i="10" s="1"/>
  <c r="Z131" i="10"/>
  <c r="AA131" i="10" s="1"/>
  <c r="Z132" i="10"/>
  <c r="AA132" i="10" s="1"/>
  <c r="Z133" i="10"/>
  <c r="AA133" i="10" s="1"/>
  <c r="Z134" i="10"/>
  <c r="AA134" i="10" s="1"/>
  <c r="Z135" i="10"/>
  <c r="AA135" i="10" s="1"/>
  <c r="Z136" i="10"/>
  <c r="AA136" i="10" s="1"/>
  <c r="Z137" i="10"/>
  <c r="AA137" i="10" s="1"/>
  <c r="Z138" i="10"/>
  <c r="AA138" i="10" s="1"/>
  <c r="Z139" i="10"/>
  <c r="AA139" i="10" s="1"/>
  <c r="Z140" i="10"/>
  <c r="AA140" i="10" s="1"/>
  <c r="Z141" i="10"/>
  <c r="AA141" i="10" s="1"/>
  <c r="Z142" i="10"/>
  <c r="AA142" i="10" s="1"/>
  <c r="Z143" i="10"/>
  <c r="AA143" i="10" s="1"/>
  <c r="Z144" i="10"/>
  <c r="AA144" i="10" s="1"/>
  <c r="Z145" i="10"/>
  <c r="AA145" i="10" s="1"/>
  <c r="Z146" i="10"/>
  <c r="AA146" i="10" s="1"/>
  <c r="Z147" i="10"/>
  <c r="AA147" i="10" s="1"/>
  <c r="Z148" i="10"/>
  <c r="AA148" i="10" s="1"/>
  <c r="Z149" i="10"/>
  <c r="AA149" i="10" s="1"/>
  <c r="Z150" i="10"/>
  <c r="AA150" i="10" s="1"/>
  <c r="Z151" i="10"/>
  <c r="AA151" i="10" s="1"/>
  <c r="Z152" i="10"/>
  <c r="AA152" i="10" s="1"/>
  <c r="Z153" i="10"/>
  <c r="AA153" i="10" s="1"/>
  <c r="Z154" i="10"/>
  <c r="AA154" i="10" s="1"/>
  <c r="Z155" i="10"/>
  <c r="AA155" i="10" s="1"/>
  <c r="Z156" i="10"/>
  <c r="AA156" i="10" s="1"/>
  <c r="Z157" i="10"/>
  <c r="AA157" i="10" s="1"/>
  <c r="Z158" i="10"/>
  <c r="AA158" i="10" s="1"/>
  <c r="Z159" i="10"/>
  <c r="AA159" i="10" s="1"/>
  <c r="Z160" i="10"/>
  <c r="AA160" i="10" s="1"/>
  <c r="Z161" i="10"/>
  <c r="AA161" i="10" s="1"/>
  <c r="Z162" i="10"/>
  <c r="AA162" i="10" s="1"/>
  <c r="Z163" i="10"/>
  <c r="AA163" i="10" s="1"/>
  <c r="Z164" i="10"/>
  <c r="AA164" i="10" s="1"/>
  <c r="Z165" i="10"/>
  <c r="AA165" i="10" s="1"/>
  <c r="Z166" i="10"/>
  <c r="AA166" i="10" s="1"/>
  <c r="Z167" i="10"/>
  <c r="AA167" i="10" s="1"/>
  <c r="Z168" i="10"/>
  <c r="AA168" i="10" s="1"/>
  <c r="Z169" i="10"/>
  <c r="AA169" i="10" s="1"/>
  <c r="Z170" i="10"/>
  <c r="AA170" i="10" s="1"/>
  <c r="Z171" i="10"/>
  <c r="AA171" i="10" s="1"/>
  <c r="Z172" i="10"/>
  <c r="AA172" i="10" s="1"/>
  <c r="Z173" i="10"/>
  <c r="AA173" i="10" s="1"/>
  <c r="Z174" i="10"/>
  <c r="AA174" i="10" s="1"/>
  <c r="Z175" i="10"/>
  <c r="AA175" i="10" s="1"/>
  <c r="Z176" i="10"/>
  <c r="AA176" i="10" s="1"/>
  <c r="Z177" i="10"/>
  <c r="AA177" i="10" s="1"/>
  <c r="Z178" i="10"/>
  <c r="AA178" i="10" s="1"/>
  <c r="Z179" i="10"/>
  <c r="AA179" i="10" s="1"/>
  <c r="Z180" i="10"/>
  <c r="AA180" i="10" s="1"/>
  <c r="Z181" i="10"/>
  <c r="AA181" i="10" s="1"/>
  <c r="Z182" i="10"/>
  <c r="AA182" i="10" s="1"/>
  <c r="Z183" i="10"/>
  <c r="AA183" i="10" s="1"/>
  <c r="Z184" i="10"/>
  <c r="AA184" i="10" s="1"/>
  <c r="Z185" i="10"/>
  <c r="AA185" i="10" s="1"/>
  <c r="Z186" i="10"/>
  <c r="AA186" i="10" s="1"/>
  <c r="Z187" i="10"/>
  <c r="AA187" i="10" s="1"/>
  <c r="Z188" i="10"/>
  <c r="AA188" i="10" s="1"/>
  <c r="Z189" i="10"/>
  <c r="AA189" i="10" s="1"/>
  <c r="Z190" i="10"/>
  <c r="AA190" i="10" s="1"/>
  <c r="Z191" i="10"/>
  <c r="AA191" i="10" s="1"/>
  <c r="Z192" i="10"/>
  <c r="AA192" i="10" s="1"/>
  <c r="Z193" i="10"/>
  <c r="AA193" i="10" s="1"/>
  <c r="Z194" i="10"/>
  <c r="AA194" i="10" s="1"/>
  <c r="Z195" i="10"/>
  <c r="AA195" i="10" s="1"/>
  <c r="Z196" i="10"/>
  <c r="AA196" i="10" s="1"/>
  <c r="Z197" i="10"/>
  <c r="AA197" i="10" s="1"/>
  <c r="Z198" i="10"/>
  <c r="AA198" i="10" s="1"/>
  <c r="Z199" i="10"/>
  <c r="AA199" i="10" s="1"/>
  <c r="Z200" i="10"/>
  <c r="AA200" i="10" s="1"/>
  <c r="Z201" i="10"/>
  <c r="AA201" i="10" s="1"/>
  <c r="Z202" i="10"/>
  <c r="AA202" i="10" s="1"/>
  <c r="Z2" i="10"/>
  <c r="AA2" i="10" s="1"/>
  <c r="C3" i="12"/>
  <c r="B3" i="8"/>
  <c r="B2" i="8"/>
  <c r="B4" i="6"/>
  <c r="C14" i="6"/>
  <c r="B7" i="5"/>
  <c r="B6" i="5"/>
  <c r="D2" i="12"/>
  <c r="B2" i="12"/>
  <c r="C2" i="12"/>
  <c r="B11" i="5"/>
  <c r="T7" i="10" s="1"/>
  <c r="T4" i="10"/>
  <c r="T2" i="10"/>
  <c r="W1" i="10" s="1"/>
  <c r="A8" i="3"/>
  <c r="B10" i="3"/>
  <c r="A9" i="3"/>
  <c r="A7" i="3"/>
  <c r="T6" i="10"/>
  <c r="T3" i="10"/>
  <c r="T1" i="10"/>
  <c r="B6" i="9" l="1"/>
  <c r="B5" i="4"/>
  <c r="D8" i="4" s="1"/>
  <c r="E3" i="4"/>
  <c r="B4" i="8" s="1"/>
  <c r="T19" i="10"/>
  <c r="T21" i="10"/>
  <c r="AK2" i="10"/>
  <c r="T22" i="10"/>
  <c r="AM16" i="10" s="1"/>
  <c r="W3" i="10"/>
  <c r="T5" i="10"/>
  <c r="AC188" i="10" s="1"/>
  <c r="W4" i="10"/>
  <c r="AB2" i="10"/>
  <c r="D8" i="9" l="1"/>
  <c r="E5" i="5"/>
  <c r="B7" i="9"/>
  <c r="B8" i="9" s="1"/>
  <c r="AL157" i="10"/>
  <c r="AL27" i="10"/>
  <c r="AL65" i="10"/>
  <c r="AL82" i="10"/>
  <c r="AL161" i="10"/>
  <c r="AL137" i="10"/>
  <c r="AL88" i="10"/>
  <c r="AL178" i="10"/>
  <c r="AL123" i="10"/>
  <c r="AL75" i="10"/>
  <c r="AL11" i="10"/>
  <c r="AL148" i="10"/>
  <c r="AL136" i="10"/>
  <c r="AL71" i="10"/>
  <c r="AL171" i="10"/>
  <c r="AL114" i="10"/>
  <c r="AL50" i="10"/>
  <c r="AL189" i="10"/>
  <c r="AL200" i="10"/>
  <c r="AL120" i="10"/>
  <c r="AL153" i="10"/>
  <c r="AL91" i="10"/>
  <c r="AL43" i="10"/>
  <c r="AL180" i="10"/>
  <c r="AL168" i="10"/>
  <c r="AL198" i="10"/>
  <c r="AL187" i="10"/>
  <c r="AL146" i="10"/>
  <c r="AL107" i="10"/>
  <c r="AL59" i="10"/>
  <c r="AL18" i="10"/>
  <c r="AL173" i="10"/>
  <c r="AL184" i="10"/>
  <c r="AL129" i="10"/>
  <c r="AL49" i="10"/>
  <c r="AL194" i="10"/>
  <c r="AL162" i="10"/>
  <c r="AL130" i="10"/>
  <c r="AL98" i="10"/>
  <c r="AL66" i="10"/>
  <c r="AL34" i="10"/>
  <c r="AL196" i="10"/>
  <c r="AL164" i="10"/>
  <c r="AL193" i="10"/>
  <c r="AL152" i="10"/>
  <c r="AL97" i="10"/>
  <c r="AL33" i="10"/>
  <c r="AL72" i="10"/>
  <c r="AL177" i="10"/>
  <c r="AL113" i="10"/>
  <c r="AL8" i="10"/>
  <c r="AL104" i="10"/>
  <c r="AL183" i="10"/>
  <c r="AL151" i="10"/>
  <c r="AL145" i="10"/>
  <c r="AL199" i="10"/>
  <c r="AL40" i="10"/>
  <c r="AL142" i="10"/>
  <c r="AL135" i="10"/>
  <c r="AL17" i="10"/>
  <c r="AL110" i="10"/>
  <c r="AL81" i="10"/>
  <c r="AL167" i="10"/>
  <c r="AL56" i="10"/>
  <c r="AL190" i="10"/>
  <c r="AL119" i="10"/>
  <c r="AL174" i="10"/>
  <c r="AL103" i="10"/>
  <c r="AL24" i="10"/>
  <c r="AL158" i="10"/>
  <c r="AL39" i="10"/>
  <c r="AL87" i="10"/>
  <c r="AL78" i="10"/>
  <c r="AL23" i="10"/>
  <c r="AL126" i="10"/>
  <c r="AL62" i="10"/>
  <c r="AL55" i="10"/>
  <c r="AL94" i="10"/>
  <c r="AL7" i="10"/>
  <c r="AM149" i="10"/>
  <c r="AC40" i="10"/>
  <c r="AM156" i="10"/>
  <c r="AM142" i="10"/>
  <c r="AL46" i="10"/>
  <c r="AL30" i="10"/>
  <c r="AL14" i="10"/>
  <c r="AL2" i="10"/>
  <c r="AL29" i="10"/>
  <c r="AL93" i="10"/>
  <c r="AL201" i="10"/>
  <c r="AL84" i="10"/>
  <c r="AL20" i="10"/>
  <c r="AL47" i="10"/>
  <c r="AL111" i="10"/>
  <c r="AL22" i="10"/>
  <c r="AL86" i="10"/>
  <c r="AL185" i="10"/>
  <c r="AL169" i="10"/>
  <c r="AL155" i="10"/>
  <c r="AL144" i="10"/>
  <c r="AM135" i="10"/>
  <c r="AL121" i="10"/>
  <c r="AL105" i="10"/>
  <c r="AL89" i="10"/>
  <c r="AL73" i="10"/>
  <c r="AL57" i="10"/>
  <c r="AL41" i="10"/>
  <c r="AL25" i="10"/>
  <c r="AL9" i="10"/>
  <c r="AL182" i="10"/>
  <c r="AL166" i="10"/>
  <c r="AL150" i="10"/>
  <c r="AL195" i="10"/>
  <c r="AL179" i="10"/>
  <c r="AL163" i="10"/>
  <c r="AL147" i="10"/>
  <c r="AL131" i="10"/>
  <c r="AL115" i="10"/>
  <c r="AL99" i="10"/>
  <c r="AL83" i="10"/>
  <c r="AL67" i="10"/>
  <c r="AL51" i="10"/>
  <c r="AL35" i="10"/>
  <c r="AL19" i="10"/>
  <c r="AL3" i="10"/>
  <c r="AL188" i="10"/>
  <c r="AL172" i="10"/>
  <c r="AL156" i="10"/>
  <c r="AL140" i="10"/>
  <c r="AL124" i="10"/>
  <c r="AL108" i="10"/>
  <c r="AL92" i="10"/>
  <c r="AL76" i="10"/>
  <c r="AL60" i="10"/>
  <c r="AL44" i="10"/>
  <c r="AL28" i="10"/>
  <c r="AL12" i="10"/>
  <c r="AL45" i="10"/>
  <c r="AL109" i="10"/>
  <c r="AL132" i="10"/>
  <c r="AL68" i="10"/>
  <c r="AL4" i="10"/>
  <c r="AL63" i="10"/>
  <c r="AL127" i="10"/>
  <c r="AL38" i="10"/>
  <c r="AL102" i="10"/>
  <c r="AL61" i="10"/>
  <c r="AL125" i="10"/>
  <c r="AL116" i="10"/>
  <c r="AL52" i="10"/>
  <c r="AL15" i="10"/>
  <c r="AL79" i="10"/>
  <c r="AL143" i="10"/>
  <c r="AL54" i="10"/>
  <c r="AL118" i="10"/>
  <c r="AL192" i="10"/>
  <c r="AL176" i="10"/>
  <c r="AL160" i="10"/>
  <c r="AL139" i="10"/>
  <c r="AL128" i="10"/>
  <c r="AL112" i="10"/>
  <c r="AL96" i="10"/>
  <c r="AL80" i="10"/>
  <c r="AL64" i="10"/>
  <c r="AL48" i="10"/>
  <c r="AL32" i="10"/>
  <c r="AL16" i="10"/>
  <c r="AN16" i="10" s="1"/>
  <c r="AO16" i="10" s="1"/>
  <c r="AR16" i="10" s="1"/>
  <c r="AL191" i="10"/>
  <c r="AL175" i="10"/>
  <c r="AL159" i="10"/>
  <c r="AL202" i="10"/>
  <c r="AL186" i="10"/>
  <c r="AL170" i="10"/>
  <c r="AL154" i="10"/>
  <c r="AL138" i="10"/>
  <c r="AL122" i="10"/>
  <c r="AL106" i="10"/>
  <c r="AL90" i="10"/>
  <c r="AL74" i="10"/>
  <c r="AL58" i="10"/>
  <c r="AL42" i="10"/>
  <c r="AL26" i="10"/>
  <c r="AL10" i="10"/>
  <c r="AL197" i="10"/>
  <c r="AL181" i="10"/>
  <c r="AL165" i="10"/>
  <c r="AL149" i="10"/>
  <c r="AL133" i="10"/>
  <c r="AL117" i="10"/>
  <c r="AL101" i="10"/>
  <c r="AL85" i="10"/>
  <c r="AL69" i="10"/>
  <c r="AL53" i="10"/>
  <c r="AL37" i="10"/>
  <c r="AL21" i="10"/>
  <c r="AL5" i="10"/>
  <c r="AL13" i="10"/>
  <c r="AL77" i="10"/>
  <c r="AL141" i="10"/>
  <c r="AL100" i="10"/>
  <c r="AL36" i="10"/>
  <c r="AL31" i="10"/>
  <c r="AL95" i="10"/>
  <c r="AL6" i="10"/>
  <c r="AL70" i="10"/>
  <c r="AL134" i="10"/>
  <c r="AM92" i="10"/>
  <c r="AM85" i="10"/>
  <c r="AM28" i="10"/>
  <c r="AM21" i="10"/>
  <c r="AM7" i="10"/>
  <c r="AN7" i="10" s="1"/>
  <c r="AP7" i="10" s="1"/>
  <c r="AM34" i="10"/>
  <c r="AM198" i="10"/>
  <c r="AM191" i="10"/>
  <c r="AM148" i="10"/>
  <c r="AM141" i="10"/>
  <c r="AM134" i="10"/>
  <c r="AM127" i="10"/>
  <c r="AM84" i="10"/>
  <c r="AN84" i="10" s="1"/>
  <c r="AP84" i="10" s="1"/>
  <c r="AM77" i="10"/>
  <c r="AM70" i="10"/>
  <c r="AN70" i="10" s="1"/>
  <c r="AP70" i="10" s="1"/>
  <c r="AM63" i="10"/>
  <c r="AM121" i="10"/>
  <c r="AM91" i="10"/>
  <c r="AM200" i="10"/>
  <c r="AM193" i="10"/>
  <c r="AM186" i="10"/>
  <c r="AM179" i="10"/>
  <c r="AM136" i="10"/>
  <c r="AM129" i="10"/>
  <c r="AN129" i="10" s="1"/>
  <c r="AO129" i="10" s="1"/>
  <c r="AR129" i="10" s="1"/>
  <c r="AM122" i="10"/>
  <c r="AM115" i="10"/>
  <c r="AM72" i="10"/>
  <c r="AM65" i="10"/>
  <c r="AM58" i="10"/>
  <c r="AM51" i="10"/>
  <c r="AM98" i="10"/>
  <c r="AM80" i="10"/>
  <c r="AM18" i="10"/>
  <c r="AN18" i="10" s="1"/>
  <c r="AO18" i="10" s="1"/>
  <c r="AR18" i="10" s="1"/>
  <c r="AM172" i="10"/>
  <c r="AM165" i="10"/>
  <c r="AM158" i="10"/>
  <c r="AN158" i="10" s="1"/>
  <c r="AP158" i="10" s="1"/>
  <c r="AM151" i="10"/>
  <c r="AM108" i="10"/>
  <c r="AM101" i="10"/>
  <c r="AM94" i="10"/>
  <c r="AN94" i="10" s="1"/>
  <c r="AO94" i="10" s="1"/>
  <c r="AR94" i="10" s="1"/>
  <c r="AM87" i="10"/>
  <c r="AM44" i="10"/>
  <c r="AM37" i="10"/>
  <c r="AM30" i="10"/>
  <c r="AM23" i="10"/>
  <c r="AM2" i="10"/>
  <c r="AM192" i="10"/>
  <c r="AM185" i="10"/>
  <c r="AM176" i="10"/>
  <c r="AM169" i="10"/>
  <c r="AM160" i="10"/>
  <c r="AM153" i="10"/>
  <c r="AM144" i="10"/>
  <c r="AM64" i="10"/>
  <c r="AN64" i="10" s="1"/>
  <c r="AO64" i="10" s="1"/>
  <c r="AR64" i="10" s="1"/>
  <c r="AM164" i="10"/>
  <c r="AM157" i="10"/>
  <c r="AM150" i="10"/>
  <c r="AM143" i="10"/>
  <c r="AN136" i="10"/>
  <c r="AO136" i="10" s="1"/>
  <c r="AR136" i="10" s="1"/>
  <c r="AM100" i="10"/>
  <c r="AM93" i="10"/>
  <c r="AM86" i="10"/>
  <c r="AM79" i="10"/>
  <c r="AM36" i="10"/>
  <c r="AM29" i="10"/>
  <c r="AM20" i="10"/>
  <c r="AM13" i="10"/>
  <c r="AM4" i="10"/>
  <c r="AM123" i="10"/>
  <c r="AM27" i="10"/>
  <c r="AN27" i="10" s="1"/>
  <c r="AP27" i="10" s="1"/>
  <c r="AM202" i="10"/>
  <c r="AM195" i="10"/>
  <c r="AM152" i="10"/>
  <c r="AM145" i="10"/>
  <c r="AM138" i="10"/>
  <c r="AM131" i="10"/>
  <c r="AM88" i="10"/>
  <c r="AN88" i="10" s="1"/>
  <c r="AP88" i="10" s="1"/>
  <c r="AM81" i="10"/>
  <c r="AM74" i="10"/>
  <c r="AM67" i="10"/>
  <c r="AM137" i="10"/>
  <c r="AM107" i="10"/>
  <c r="AM82" i="10"/>
  <c r="AM57" i="10"/>
  <c r="AM25" i="10"/>
  <c r="AM78" i="10"/>
  <c r="AM71" i="10"/>
  <c r="AM14" i="10"/>
  <c r="AM201" i="10"/>
  <c r="AM197" i="10"/>
  <c r="AM188" i="10"/>
  <c r="AM181" i="10"/>
  <c r="AM174" i="10"/>
  <c r="AM167" i="10"/>
  <c r="AM124" i="10"/>
  <c r="AM117" i="10"/>
  <c r="AM110" i="10"/>
  <c r="AM103" i="10"/>
  <c r="AM60" i="10"/>
  <c r="AM53" i="10"/>
  <c r="AM46" i="10"/>
  <c r="AM39" i="10"/>
  <c r="AM194" i="10"/>
  <c r="AM187" i="10"/>
  <c r="AM178" i="10"/>
  <c r="AM171" i="10"/>
  <c r="AM162" i="10"/>
  <c r="AN162" i="10" s="1"/>
  <c r="AP162" i="10" s="1"/>
  <c r="AM155" i="10"/>
  <c r="AM146" i="10"/>
  <c r="AM128" i="10"/>
  <c r="AM66" i="10"/>
  <c r="AM48" i="10"/>
  <c r="AM180" i="10"/>
  <c r="AM173" i="10"/>
  <c r="AM166" i="10"/>
  <c r="AM159" i="10"/>
  <c r="AM116" i="10"/>
  <c r="AM109" i="10"/>
  <c r="AM102" i="10"/>
  <c r="AM95" i="10"/>
  <c r="AM52" i="10"/>
  <c r="AM45" i="10"/>
  <c r="AM38" i="10"/>
  <c r="AN38" i="10" s="1"/>
  <c r="AP38" i="10" s="1"/>
  <c r="AM31" i="10"/>
  <c r="AM22" i="10"/>
  <c r="AM15" i="10"/>
  <c r="AM6" i="10"/>
  <c r="AM105" i="10"/>
  <c r="AM73" i="10"/>
  <c r="AM168" i="10"/>
  <c r="AM161" i="10"/>
  <c r="AN161" i="10" s="1"/>
  <c r="AP161" i="10" s="1"/>
  <c r="AM154" i="10"/>
  <c r="AM147" i="10"/>
  <c r="AM104" i="10"/>
  <c r="AM97" i="10"/>
  <c r="AM90" i="10"/>
  <c r="AM83" i="10"/>
  <c r="AM40" i="10"/>
  <c r="AM33" i="10"/>
  <c r="AM24" i="10"/>
  <c r="AM17" i="10"/>
  <c r="AM8" i="10"/>
  <c r="AM112" i="10"/>
  <c r="AN112" i="10" s="1"/>
  <c r="AO112" i="10" s="1"/>
  <c r="AR112" i="10" s="1"/>
  <c r="AM89" i="10"/>
  <c r="AM59" i="10"/>
  <c r="AM9" i="10"/>
  <c r="AM199" i="10"/>
  <c r="AM190" i="10"/>
  <c r="AM183" i="10"/>
  <c r="AM140" i="10"/>
  <c r="AM133" i="10"/>
  <c r="AM126" i="10"/>
  <c r="AM119" i="10"/>
  <c r="AM76" i="10"/>
  <c r="AM69" i="10"/>
  <c r="AM62" i="10"/>
  <c r="AM55" i="10"/>
  <c r="AM12" i="10"/>
  <c r="AM5" i="10"/>
  <c r="AM130" i="10"/>
  <c r="AM50" i="10"/>
  <c r="AM32" i="10"/>
  <c r="AM196" i="10"/>
  <c r="AM189" i="10"/>
  <c r="AN189" i="10" s="1"/>
  <c r="AP189" i="10" s="1"/>
  <c r="AM182" i="10"/>
  <c r="AM175" i="10"/>
  <c r="AM132" i="10"/>
  <c r="AM125" i="10"/>
  <c r="AM118" i="10"/>
  <c r="AM111" i="10"/>
  <c r="AM68" i="10"/>
  <c r="AN68" i="10" s="1"/>
  <c r="AO68" i="10" s="1"/>
  <c r="AR68" i="10" s="1"/>
  <c r="AM61" i="10"/>
  <c r="AM54" i="10"/>
  <c r="AM47" i="10"/>
  <c r="AM139" i="10"/>
  <c r="AM43" i="10"/>
  <c r="AM11" i="10"/>
  <c r="AM184" i="10"/>
  <c r="AM177" i="10"/>
  <c r="AN177" i="10" s="1"/>
  <c r="AP177" i="10" s="1"/>
  <c r="AM170" i="10"/>
  <c r="AM163" i="10"/>
  <c r="AM120" i="10"/>
  <c r="AM113" i="10"/>
  <c r="AM106" i="10"/>
  <c r="AM99" i="10"/>
  <c r="AM56" i="10"/>
  <c r="AM49" i="10"/>
  <c r="AM42" i="10"/>
  <c r="AM35" i="10"/>
  <c r="AM26" i="10"/>
  <c r="AM19" i="10"/>
  <c r="AM10" i="10"/>
  <c r="AM3" i="10"/>
  <c r="AM114" i="10"/>
  <c r="AM96" i="10"/>
  <c r="AM75" i="10"/>
  <c r="AN75" i="10" s="1"/>
  <c r="AP75" i="10" s="1"/>
  <c r="AM41" i="10"/>
  <c r="B2" i="5"/>
  <c r="AC96" i="10"/>
  <c r="AC181" i="10"/>
  <c r="AC154" i="10"/>
  <c r="AC90" i="10"/>
  <c r="AC84" i="10"/>
  <c r="AC169" i="10"/>
  <c r="AC195" i="10"/>
  <c r="AC75" i="10"/>
  <c r="AC106" i="10"/>
  <c r="AC148" i="10"/>
  <c r="AC177" i="10"/>
  <c r="AC139" i="10"/>
  <c r="AC186" i="10"/>
  <c r="AC122" i="10"/>
  <c r="AC58" i="10"/>
  <c r="AC127" i="10"/>
  <c r="AC109" i="10"/>
  <c r="AC135" i="10"/>
  <c r="AC160" i="10"/>
  <c r="AC170" i="10"/>
  <c r="AC63" i="10"/>
  <c r="AC152" i="10"/>
  <c r="AC117" i="10"/>
  <c r="AC202" i="10"/>
  <c r="AC138" i="10"/>
  <c r="AC74" i="10"/>
  <c r="AC105" i="10"/>
  <c r="AC191" i="10"/>
  <c r="AC67" i="10"/>
  <c r="AC92" i="10"/>
  <c r="AC91" i="10"/>
  <c r="AC133" i="10"/>
  <c r="AC176" i="10"/>
  <c r="AC197" i="10"/>
  <c r="AC190" i="10"/>
  <c r="AC174" i="10"/>
  <c r="AC158" i="10"/>
  <c r="AC142" i="10"/>
  <c r="AC126" i="10"/>
  <c r="AC110" i="10"/>
  <c r="AC94" i="10"/>
  <c r="AC78" i="10"/>
  <c r="AC62" i="10"/>
  <c r="AC79" i="10"/>
  <c r="AC121" i="10"/>
  <c r="AC164" i="10"/>
  <c r="AC141" i="10"/>
  <c r="AC184" i="10"/>
  <c r="AC81" i="10"/>
  <c r="AC167" i="10"/>
  <c r="AC59" i="10"/>
  <c r="AC80" i="10"/>
  <c r="AC101" i="10"/>
  <c r="AC123" i="10"/>
  <c r="AC144" i="10"/>
  <c r="AC165" i="10"/>
  <c r="AC187" i="10"/>
  <c r="AC198" i="10"/>
  <c r="AC182" i="10"/>
  <c r="AC166" i="10"/>
  <c r="AC150" i="10"/>
  <c r="AC134" i="10"/>
  <c r="AC118" i="10"/>
  <c r="AC102" i="10"/>
  <c r="AC86" i="10"/>
  <c r="AC70" i="10"/>
  <c r="AC68" i="10"/>
  <c r="AC89" i="10"/>
  <c r="AC111" i="10"/>
  <c r="AC132" i="10"/>
  <c r="AC153" i="10"/>
  <c r="AC175" i="10"/>
  <c r="AC196" i="10"/>
  <c r="AC77" i="10"/>
  <c r="AC120" i="10"/>
  <c r="AC163" i="10"/>
  <c r="AC60" i="10"/>
  <c r="AC103" i="10"/>
  <c r="AC145" i="10"/>
  <c r="AC32" i="10"/>
  <c r="AC76" i="10"/>
  <c r="AC87" i="10"/>
  <c r="AC108" i="10"/>
  <c r="AC129" i="10"/>
  <c r="AC151" i="10"/>
  <c r="AC172" i="10"/>
  <c r="AC193" i="10"/>
  <c r="AC72" i="10"/>
  <c r="AC93" i="10"/>
  <c r="AC115" i="10"/>
  <c r="AC136" i="10"/>
  <c r="AC157" i="10"/>
  <c r="AC179" i="10"/>
  <c r="AC200" i="10"/>
  <c r="AC65" i="10"/>
  <c r="AC97" i="10"/>
  <c r="AC119" i="10"/>
  <c r="AC140" i="10"/>
  <c r="AC161" i="10"/>
  <c r="AC183" i="10"/>
  <c r="AC61" i="10"/>
  <c r="AC83" i="10"/>
  <c r="AC104" i="10"/>
  <c r="AC125" i="10"/>
  <c r="AC147" i="10"/>
  <c r="AC168" i="10"/>
  <c r="AC189" i="10"/>
  <c r="AC69" i="10"/>
  <c r="AC112" i="10"/>
  <c r="AC155" i="10"/>
  <c r="AC100" i="10"/>
  <c r="AC143" i="10"/>
  <c r="AC185" i="10"/>
  <c r="AC99" i="10"/>
  <c r="AC124" i="10"/>
  <c r="AC64" i="10"/>
  <c r="AC85" i="10"/>
  <c r="AC107" i="10"/>
  <c r="AC128" i="10"/>
  <c r="AC149" i="10"/>
  <c r="AC171" i="10"/>
  <c r="AC192" i="10"/>
  <c r="AC194" i="10"/>
  <c r="AC178" i="10"/>
  <c r="AC162" i="10"/>
  <c r="AC146" i="10"/>
  <c r="AC130" i="10"/>
  <c r="AC114" i="10"/>
  <c r="AC98" i="10"/>
  <c r="AC82" i="10"/>
  <c r="AC66" i="10"/>
  <c r="AC73" i="10"/>
  <c r="AC95" i="10"/>
  <c r="AC116" i="10"/>
  <c r="AC137" i="10"/>
  <c r="AC159" i="10"/>
  <c r="AC180" i="10"/>
  <c r="AC201" i="10"/>
  <c r="AC88" i="10"/>
  <c r="AC131" i="10"/>
  <c r="AC173" i="10"/>
  <c r="AC57" i="10"/>
  <c r="AC71" i="10"/>
  <c r="AC113" i="10"/>
  <c r="AC156" i="10"/>
  <c r="AC199" i="10"/>
  <c r="AC34" i="10"/>
  <c r="AC28" i="10"/>
  <c r="AC50" i="10"/>
  <c r="AC41" i="10"/>
  <c r="AC25" i="10"/>
  <c r="AC3" i="10"/>
  <c r="AC9" i="10"/>
  <c r="AC18" i="10"/>
  <c r="AC19" i="10"/>
  <c r="AC47" i="10"/>
  <c r="W5" i="10"/>
  <c r="AC35" i="10"/>
  <c r="AC8" i="10"/>
  <c r="AC21" i="10"/>
  <c r="AC53" i="10"/>
  <c r="AC30" i="10"/>
  <c r="AC43" i="10"/>
  <c r="AC7" i="10"/>
  <c r="W2" i="10"/>
  <c r="AE151" i="10" s="1"/>
  <c r="AC5" i="10"/>
  <c r="AC17" i="10"/>
  <c r="AC33" i="10"/>
  <c r="AC49" i="10"/>
  <c r="AC10" i="10"/>
  <c r="AC26" i="10"/>
  <c r="AC42" i="10"/>
  <c r="AC51" i="10"/>
  <c r="AC27" i="10"/>
  <c r="AC11" i="10"/>
  <c r="AC44" i="10"/>
  <c r="AC20" i="10"/>
  <c r="AC2" i="10"/>
  <c r="AC56" i="10"/>
  <c r="AC16" i="10"/>
  <c r="AC37" i="10"/>
  <c r="AC14" i="10"/>
  <c r="AC46" i="10"/>
  <c r="AC23" i="10"/>
  <c r="AC36" i="10"/>
  <c r="AC12" i="10"/>
  <c r="AC55" i="10"/>
  <c r="AC48" i="10"/>
  <c r="AC13" i="10"/>
  <c r="AC29" i="10"/>
  <c r="AC45" i="10"/>
  <c r="AC6" i="10"/>
  <c r="AC22" i="10"/>
  <c r="AC38" i="10"/>
  <c r="AC54" i="10"/>
  <c r="AC31" i="10"/>
  <c r="AC15" i="10"/>
  <c r="AC52" i="10"/>
  <c r="AC24" i="10"/>
  <c r="AC4" i="10"/>
  <c r="AC39" i="10"/>
  <c r="AN157" i="10" l="1"/>
  <c r="AO157" i="10" s="1"/>
  <c r="AR157" i="10" s="1"/>
  <c r="AN126" i="10"/>
  <c r="AO126" i="10" s="1"/>
  <c r="AR126" i="10" s="1"/>
  <c r="AN82" i="10"/>
  <c r="AP82" i="10" s="1"/>
  <c r="AN43" i="10"/>
  <c r="AP43" i="10" s="1"/>
  <c r="AN155" i="10"/>
  <c r="AP155" i="10" s="1"/>
  <c r="AN187" i="10"/>
  <c r="AP187" i="10" s="1"/>
  <c r="AN65" i="10"/>
  <c r="AO65" i="10" s="1"/>
  <c r="AR65" i="10" s="1"/>
  <c r="AN196" i="10"/>
  <c r="AO196" i="10" s="1"/>
  <c r="AR196" i="10" s="1"/>
  <c r="AN97" i="10"/>
  <c r="AP97" i="10" s="1"/>
  <c r="AN71" i="10"/>
  <c r="AO71" i="10" s="1"/>
  <c r="AR71" i="10" s="1"/>
  <c r="AN91" i="10"/>
  <c r="AP91" i="10" s="1"/>
  <c r="AN137" i="10"/>
  <c r="AO137" i="10" s="1"/>
  <c r="AR137" i="10" s="1"/>
  <c r="AN175" i="10"/>
  <c r="AP175" i="10" s="1"/>
  <c r="AN12" i="10"/>
  <c r="AP12" i="10" s="1"/>
  <c r="AN140" i="10"/>
  <c r="AO140" i="10" s="1"/>
  <c r="AR140" i="10" s="1"/>
  <c r="AN78" i="10"/>
  <c r="AP78" i="10" s="1"/>
  <c r="AN50" i="10"/>
  <c r="AP50" i="10" s="1"/>
  <c r="AN17" i="10"/>
  <c r="AO17" i="10" s="1"/>
  <c r="AR17" i="10" s="1"/>
  <c r="AN83" i="10"/>
  <c r="AO83" i="10" s="1"/>
  <c r="AR83" i="10" s="1"/>
  <c r="AN147" i="10"/>
  <c r="AO147" i="10" s="1"/>
  <c r="AR147" i="10" s="1"/>
  <c r="AN180" i="10"/>
  <c r="AP180" i="10" s="1"/>
  <c r="AN146" i="10"/>
  <c r="AO146" i="10" s="1"/>
  <c r="AR146" i="10" s="1"/>
  <c r="AN178" i="10"/>
  <c r="AP178" i="10" s="1"/>
  <c r="AN46" i="10"/>
  <c r="AP46" i="10" s="1"/>
  <c r="AN123" i="10"/>
  <c r="AO123" i="10" s="1"/>
  <c r="AR123" i="10" s="1"/>
  <c r="AN29" i="10"/>
  <c r="AO29" i="10" s="1"/>
  <c r="AR29" i="10" s="1"/>
  <c r="AN184" i="10"/>
  <c r="AO184" i="10" s="1"/>
  <c r="AR184" i="10" s="1"/>
  <c r="AN76" i="10"/>
  <c r="AO76" i="10" s="1"/>
  <c r="AR76" i="10" s="1"/>
  <c r="AN40" i="10"/>
  <c r="AP40" i="10" s="1"/>
  <c r="AN168" i="10"/>
  <c r="AP168" i="10" s="1"/>
  <c r="AN107" i="10"/>
  <c r="AO107" i="10" s="1"/>
  <c r="AR107" i="10" s="1"/>
  <c r="AN72" i="10"/>
  <c r="AP72" i="10" s="1"/>
  <c r="AN153" i="10"/>
  <c r="AP153" i="10" s="1"/>
  <c r="AN30" i="10"/>
  <c r="AO30" i="10" s="1"/>
  <c r="AR30" i="10" s="1"/>
  <c r="AN114" i="10"/>
  <c r="AO114" i="10" s="1"/>
  <c r="AR114" i="10" s="1"/>
  <c r="AN56" i="10"/>
  <c r="AP56" i="10" s="1"/>
  <c r="AN120" i="10"/>
  <c r="AO120" i="10" s="1"/>
  <c r="AR120" i="10" s="1"/>
  <c r="AN148" i="10"/>
  <c r="AP148" i="10" s="1"/>
  <c r="AN19" i="10"/>
  <c r="AP19" i="10" s="1"/>
  <c r="AN132" i="10"/>
  <c r="AO132" i="10" s="1"/>
  <c r="AR132" i="10" s="1"/>
  <c r="AN199" i="10"/>
  <c r="AP199" i="10" s="1"/>
  <c r="AN66" i="10"/>
  <c r="AO66" i="10" s="1"/>
  <c r="AR66" i="10" s="1"/>
  <c r="AN194" i="10"/>
  <c r="AP194" i="10" s="1"/>
  <c r="AN13" i="10"/>
  <c r="AO13" i="10" s="1"/>
  <c r="AR13" i="10" s="1"/>
  <c r="AN193" i="10"/>
  <c r="AO193" i="10" s="1"/>
  <c r="AR193" i="10" s="1"/>
  <c r="AN104" i="10"/>
  <c r="AP104" i="10" s="1"/>
  <c r="AN173" i="10"/>
  <c r="AP173" i="10" s="1"/>
  <c r="AN171" i="10"/>
  <c r="AO171" i="10" s="1"/>
  <c r="AR171" i="10" s="1"/>
  <c r="AN103" i="10"/>
  <c r="AO103" i="10" s="1"/>
  <c r="AR103" i="10" s="1"/>
  <c r="AN20" i="10"/>
  <c r="AP20" i="10" s="1"/>
  <c r="AN200" i="10"/>
  <c r="AP200" i="10" s="1"/>
  <c r="AN198" i="10"/>
  <c r="AP198" i="10" s="1"/>
  <c r="AN49" i="10"/>
  <c r="AP49" i="10" s="1"/>
  <c r="AN11" i="10"/>
  <c r="AP11" i="10" s="1"/>
  <c r="AN3" i="10"/>
  <c r="AP3" i="10" s="1"/>
  <c r="AN55" i="10"/>
  <c r="AO55" i="10" s="1"/>
  <c r="AR55" i="10" s="1"/>
  <c r="AN183" i="10"/>
  <c r="AO183" i="10" s="1"/>
  <c r="AR183" i="10" s="1"/>
  <c r="AN59" i="10"/>
  <c r="AO59" i="10" s="1"/>
  <c r="AR59" i="10" s="1"/>
  <c r="AN73" i="10"/>
  <c r="AP73" i="10" s="1"/>
  <c r="AN116" i="10"/>
  <c r="AO116" i="10" s="1"/>
  <c r="AR116" i="10" s="1"/>
  <c r="AN110" i="10"/>
  <c r="AP110" i="10" s="1"/>
  <c r="AN152" i="10"/>
  <c r="AO152" i="10" s="1"/>
  <c r="AR152" i="10" s="1"/>
  <c r="AN34" i="10"/>
  <c r="AO34" i="10" s="1"/>
  <c r="AR34" i="10" s="1"/>
  <c r="AN106" i="10"/>
  <c r="AP106" i="10" s="1"/>
  <c r="AN170" i="10"/>
  <c r="AO170" i="10" s="1"/>
  <c r="AR170" i="10" s="1"/>
  <c r="AN125" i="10"/>
  <c r="AP125" i="10" s="1"/>
  <c r="AN130" i="10"/>
  <c r="AO130" i="10" s="1"/>
  <c r="AR130" i="10" s="1"/>
  <c r="AN62" i="10"/>
  <c r="AP62" i="10" s="1"/>
  <c r="AN190" i="10"/>
  <c r="AO190" i="10" s="1"/>
  <c r="AR190" i="10" s="1"/>
  <c r="AN24" i="10"/>
  <c r="AP24" i="10" s="1"/>
  <c r="AN90" i="10"/>
  <c r="AO90" i="10" s="1"/>
  <c r="AR90" i="10" s="1"/>
  <c r="AN154" i="10"/>
  <c r="AO154" i="10" s="1"/>
  <c r="AR154" i="10" s="1"/>
  <c r="AN31" i="10"/>
  <c r="AO31" i="10" s="1"/>
  <c r="AR31" i="10" s="1"/>
  <c r="AN159" i="10"/>
  <c r="AP159" i="10" s="1"/>
  <c r="AN48" i="10"/>
  <c r="AO48" i="10" s="1"/>
  <c r="AR48" i="10" s="1"/>
  <c r="AN53" i="10"/>
  <c r="AO53" i="10" s="1"/>
  <c r="AR53" i="10" s="1"/>
  <c r="AN181" i="10"/>
  <c r="AP181" i="10" s="1"/>
  <c r="AN14" i="10"/>
  <c r="AP14" i="10" s="1"/>
  <c r="AN57" i="10"/>
  <c r="AP57" i="10" s="1"/>
  <c r="AN67" i="10"/>
  <c r="AO67" i="10" s="1"/>
  <c r="AR67" i="10" s="1"/>
  <c r="AN131" i="10"/>
  <c r="AO131" i="10" s="1"/>
  <c r="AR131" i="10" s="1"/>
  <c r="AN195" i="10"/>
  <c r="AP195" i="10" s="1"/>
  <c r="AN23" i="10"/>
  <c r="AO23" i="10" s="1"/>
  <c r="AR23" i="10" s="1"/>
  <c r="AN151" i="10"/>
  <c r="AP151" i="10" s="1"/>
  <c r="AN121" i="10"/>
  <c r="AP121" i="10" s="1"/>
  <c r="AN142" i="10"/>
  <c r="AO142" i="10" s="1"/>
  <c r="AR142" i="10" s="1"/>
  <c r="AN33" i="10"/>
  <c r="AO33" i="10" s="1"/>
  <c r="AR33" i="10" s="1"/>
  <c r="AN54" i="10"/>
  <c r="AP54" i="10" s="1"/>
  <c r="AN8" i="10"/>
  <c r="AO8" i="10" s="1"/>
  <c r="AR8" i="10" s="1"/>
  <c r="AN45" i="10"/>
  <c r="AO45" i="10" s="1"/>
  <c r="AR45" i="10" s="1"/>
  <c r="AN39" i="10"/>
  <c r="AP39" i="10" s="1"/>
  <c r="AN167" i="10"/>
  <c r="AO167" i="10" s="1"/>
  <c r="AR167" i="10" s="1"/>
  <c r="AN81" i="10"/>
  <c r="AO81" i="10" s="1"/>
  <c r="AR81" i="10" s="1"/>
  <c r="AN145" i="10"/>
  <c r="AP145" i="10" s="1"/>
  <c r="AN164" i="10"/>
  <c r="AP164" i="10" s="1"/>
  <c r="AN98" i="10"/>
  <c r="AP98" i="10" s="1"/>
  <c r="AN135" i="10"/>
  <c r="AO135" i="10" s="1"/>
  <c r="AR135" i="10" s="1"/>
  <c r="AN41" i="10"/>
  <c r="AO41" i="10" s="1"/>
  <c r="AR41" i="10" s="1"/>
  <c r="AN35" i="10"/>
  <c r="AO35" i="10" s="1"/>
  <c r="AR35" i="10" s="1"/>
  <c r="AN96" i="10"/>
  <c r="AO96" i="10" s="1"/>
  <c r="AR96" i="10" s="1"/>
  <c r="AN113" i="10"/>
  <c r="AO113" i="10" s="1"/>
  <c r="AR113" i="10" s="1"/>
  <c r="AN118" i="10"/>
  <c r="AP118" i="10" s="1"/>
  <c r="AN182" i="10"/>
  <c r="AO182" i="10" s="1"/>
  <c r="AR182" i="10" s="1"/>
  <c r="AN119" i="10"/>
  <c r="AO119" i="10" s="1"/>
  <c r="AR119" i="10" s="1"/>
  <c r="AN22" i="10"/>
  <c r="AP22" i="10" s="1"/>
  <c r="AN174" i="10"/>
  <c r="AP174" i="10" s="1"/>
  <c r="AN201" i="10"/>
  <c r="AP201" i="10" s="1"/>
  <c r="AN169" i="10"/>
  <c r="AO169" i="10" s="1"/>
  <c r="AR169" i="10" s="1"/>
  <c r="AN156" i="10"/>
  <c r="AO156" i="10" s="1"/>
  <c r="AR156" i="10" s="1"/>
  <c r="AN89" i="10"/>
  <c r="AP89" i="10" s="1"/>
  <c r="AN150" i="10"/>
  <c r="AP150" i="10" s="1"/>
  <c r="AN87" i="10"/>
  <c r="AO87" i="10" s="1"/>
  <c r="AR87" i="10" s="1"/>
  <c r="AN122" i="10"/>
  <c r="AO122" i="10" s="1"/>
  <c r="AR122" i="10" s="1"/>
  <c r="AN191" i="10"/>
  <c r="AO191" i="10" s="1"/>
  <c r="AR191" i="10" s="1"/>
  <c r="AN128" i="10"/>
  <c r="AO128" i="10" s="1"/>
  <c r="AR128" i="10" s="1"/>
  <c r="AN79" i="10"/>
  <c r="AO79" i="10" s="1"/>
  <c r="AR79" i="10" s="1"/>
  <c r="AN86" i="10"/>
  <c r="AN69" i="10"/>
  <c r="AO69" i="10" s="1"/>
  <c r="AR69" i="10" s="1"/>
  <c r="AN149" i="10"/>
  <c r="AP149" i="10" s="1"/>
  <c r="AN100" i="10"/>
  <c r="AO100" i="10" s="1"/>
  <c r="AR100" i="10" s="1"/>
  <c r="AN127" i="10"/>
  <c r="AP127" i="10" s="1"/>
  <c r="AN197" i="10"/>
  <c r="AP197" i="10" s="1"/>
  <c r="AN28" i="10"/>
  <c r="AO28" i="10" s="1"/>
  <c r="AR28" i="10" s="1"/>
  <c r="AN102" i="10"/>
  <c r="AO102" i="10" s="1"/>
  <c r="AR102" i="10" s="1"/>
  <c r="AN124" i="10"/>
  <c r="AP124" i="10" s="1"/>
  <c r="AN51" i="10"/>
  <c r="AP51" i="10" s="1"/>
  <c r="AN179" i="10"/>
  <c r="AO179" i="10" s="1"/>
  <c r="AR179" i="10" s="1"/>
  <c r="AN37" i="10"/>
  <c r="AP37" i="10" s="1"/>
  <c r="AN165" i="10"/>
  <c r="AP165" i="10" s="1"/>
  <c r="AN101" i="10"/>
  <c r="AP101" i="10" s="1"/>
  <c r="AN26" i="10"/>
  <c r="AO26" i="10" s="1"/>
  <c r="AR26" i="10" s="1"/>
  <c r="AN25" i="10"/>
  <c r="AO25" i="10" s="1"/>
  <c r="AR25" i="10" s="1"/>
  <c r="AN92" i="10"/>
  <c r="AO92" i="10" s="1"/>
  <c r="AR92" i="10" s="1"/>
  <c r="AN85" i="10"/>
  <c r="AP85" i="10" s="1"/>
  <c r="AN5" i="10"/>
  <c r="AP5" i="10" s="1"/>
  <c r="AN192" i="10"/>
  <c r="AO192" i="10" s="1"/>
  <c r="AR192" i="10" s="1"/>
  <c r="AN133" i="10"/>
  <c r="AO133" i="10" s="1"/>
  <c r="AR133" i="10" s="1"/>
  <c r="AN144" i="10"/>
  <c r="AO144" i="10" s="1"/>
  <c r="AR144" i="10" s="1"/>
  <c r="AN58" i="10"/>
  <c r="AO58" i="10" s="1"/>
  <c r="AR58" i="10" s="1"/>
  <c r="AN186" i="10"/>
  <c r="AO186" i="10" s="1"/>
  <c r="AR186" i="10" s="1"/>
  <c r="AN21" i="10"/>
  <c r="AP21" i="10" s="1"/>
  <c r="AN6" i="10"/>
  <c r="AO6" i="10" s="1"/>
  <c r="AR6" i="10" s="1"/>
  <c r="AP68" i="10"/>
  <c r="AN111" i="10"/>
  <c r="AP111" i="10" s="1"/>
  <c r="AN32" i="10"/>
  <c r="AO32" i="10" s="1"/>
  <c r="AR32" i="10" s="1"/>
  <c r="AN166" i="10"/>
  <c r="AP166" i="10" s="1"/>
  <c r="AN77" i="10"/>
  <c r="AP77" i="10" s="1"/>
  <c r="AN52" i="10"/>
  <c r="AO52" i="10" s="1"/>
  <c r="AR52" i="10" s="1"/>
  <c r="AN60" i="10"/>
  <c r="AO60" i="10" s="1"/>
  <c r="AR60" i="10" s="1"/>
  <c r="AN188" i="10"/>
  <c r="AP188" i="10" s="1"/>
  <c r="AN4" i="10"/>
  <c r="AO4" i="10" s="1"/>
  <c r="AR4" i="10" s="1"/>
  <c r="AN44" i="10"/>
  <c r="AO44" i="10" s="1"/>
  <c r="AR44" i="10" s="1"/>
  <c r="AN134" i="10"/>
  <c r="AP134" i="10" s="1"/>
  <c r="AN139" i="10"/>
  <c r="AO139" i="10" s="1"/>
  <c r="AR139" i="10" s="1"/>
  <c r="AN160" i="10"/>
  <c r="AP160" i="10" s="1"/>
  <c r="AN10" i="10"/>
  <c r="AP10" i="10" s="1"/>
  <c r="AN115" i="10"/>
  <c r="AP115" i="10" s="1"/>
  <c r="AN138" i="10"/>
  <c r="AP138" i="10" s="1"/>
  <c r="AN202" i="10"/>
  <c r="AP202" i="10" s="1"/>
  <c r="AN80" i="10"/>
  <c r="AP80" i="10" s="1"/>
  <c r="AN172" i="10"/>
  <c r="AO172" i="10" s="1"/>
  <c r="AR172" i="10" s="1"/>
  <c r="AP18" i="10"/>
  <c r="AN176" i="10"/>
  <c r="AP176" i="10" s="1"/>
  <c r="AN185" i="10"/>
  <c r="AO185" i="10" s="1"/>
  <c r="AR185" i="10" s="1"/>
  <c r="AO84" i="10"/>
  <c r="AR84" i="10" s="1"/>
  <c r="AN42" i="10"/>
  <c r="AP42" i="10" s="1"/>
  <c r="AN47" i="10"/>
  <c r="AP47" i="10" s="1"/>
  <c r="AN9" i="10"/>
  <c r="AP9" i="10" s="1"/>
  <c r="AN15" i="10"/>
  <c r="AP15" i="10" s="1"/>
  <c r="AN95" i="10"/>
  <c r="AP95" i="10" s="1"/>
  <c r="AN74" i="10"/>
  <c r="AP74" i="10" s="1"/>
  <c r="AN36" i="10"/>
  <c r="AP36" i="10" s="1"/>
  <c r="AN2" i="10"/>
  <c r="AP2" i="10" s="1"/>
  <c r="AN63" i="10"/>
  <c r="AO63" i="10" s="1"/>
  <c r="AR63" i="10" s="1"/>
  <c r="AN99" i="10"/>
  <c r="AP99" i="10" s="1"/>
  <c r="AN163" i="10"/>
  <c r="AO163" i="10" s="1"/>
  <c r="AR163" i="10" s="1"/>
  <c r="AN61" i="10"/>
  <c r="AP61" i="10" s="1"/>
  <c r="AN105" i="10"/>
  <c r="AO105" i="10" s="1"/>
  <c r="AR105" i="10" s="1"/>
  <c r="AN109" i="10"/>
  <c r="AO109" i="10" s="1"/>
  <c r="AR109" i="10" s="1"/>
  <c r="AN117" i="10"/>
  <c r="AO117" i="10" s="1"/>
  <c r="AR117" i="10" s="1"/>
  <c r="AN93" i="10"/>
  <c r="AP93" i="10" s="1"/>
  <c r="AN143" i="10"/>
  <c r="AO143" i="10" s="1"/>
  <c r="AR143" i="10" s="1"/>
  <c r="AN108" i="10"/>
  <c r="AP108" i="10" s="1"/>
  <c r="AN141" i="10"/>
  <c r="AP141" i="10" s="1"/>
  <c r="AO189" i="10"/>
  <c r="AR189" i="10" s="1"/>
  <c r="AO75" i="10"/>
  <c r="AR75" i="10" s="1"/>
  <c r="AP64" i="10"/>
  <c r="AP157" i="10"/>
  <c r="AP16" i="10"/>
  <c r="AO38" i="10"/>
  <c r="AR38" i="10" s="1"/>
  <c r="AO161" i="10"/>
  <c r="AR161" i="10" s="1"/>
  <c r="AO158" i="10"/>
  <c r="AR158" i="10" s="1"/>
  <c r="AP112" i="10"/>
  <c r="AO177" i="10"/>
  <c r="AR177" i="10" s="1"/>
  <c r="AO27" i="10"/>
  <c r="AR27" i="10" s="1"/>
  <c r="AP94" i="10"/>
  <c r="AP71" i="10"/>
  <c r="AO70" i="10"/>
  <c r="AR70" i="10" s="1"/>
  <c r="AO88" i="10"/>
  <c r="AR88" i="10" s="1"/>
  <c r="AO7" i="10"/>
  <c r="AR7" i="10" s="1"/>
  <c r="AP129" i="10"/>
  <c r="AP136" i="10"/>
  <c r="AO162" i="10"/>
  <c r="AR162" i="10" s="1"/>
  <c r="AE111" i="10"/>
  <c r="AE119" i="10"/>
  <c r="AE98" i="10"/>
  <c r="AE96" i="10"/>
  <c r="AE106" i="10"/>
  <c r="AE177" i="10"/>
  <c r="AE120" i="10"/>
  <c r="AE198" i="10"/>
  <c r="AE168" i="10"/>
  <c r="AE82" i="10"/>
  <c r="AE63" i="10"/>
  <c r="AE73" i="10"/>
  <c r="AE195" i="10"/>
  <c r="AE77" i="10"/>
  <c r="AE182" i="10"/>
  <c r="AE196" i="10"/>
  <c r="AE147" i="10"/>
  <c r="AE160" i="10"/>
  <c r="AE162" i="10"/>
  <c r="AE191" i="10"/>
  <c r="AE170" i="10"/>
  <c r="AE180" i="10"/>
  <c r="AE131" i="10"/>
  <c r="AE127" i="10"/>
  <c r="AE70" i="10"/>
  <c r="AE118" i="10"/>
  <c r="AE61" i="10"/>
  <c r="AE84" i="10"/>
  <c r="AE141" i="10"/>
  <c r="AE95" i="10"/>
  <c r="AE87" i="10"/>
  <c r="AE102" i="10"/>
  <c r="AE81" i="10"/>
  <c r="AE75" i="10"/>
  <c r="AE99" i="10"/>
  <c r="AE90" i="10"/>
  <c r="AE135" i="10"/>
  <c r="AE134" i="10"/>
  <c r="AE132" i="10"/>
  <c r="AE83" i="10"/>
  <c r="AE161" i="10"/>
  <c r="AE146" i="10"/>
  <c r="AE169" i="10"/>
  <c r="AE193" i="10"/>
  <c r="AE154" i="10"/>
  <c r="AE159" i="10"/>
  <c r="AE109" i="10"/>
  <c r="AE2" i="10"/>
  <c r="AE91" i="10"/>
  <c r="AE133" i="10"/>
  <c r="AE176" i="10"/>
  <c r="AE64" i="10"/>
  <c r="AE107" i="10"/>
  <c r="AE149" i="10"/>
  <c r="AE192" i="10"/>
  <c r="AE69" i="10"/>
  <c r="AE112" i="10"/>
  <c r="AE155" i="10"/>
  <c r="AE197" i="10"/>
  <c r="AE85" i="10"/>
  <c r="AE128" i="10"/>
  <c r="AE171" i="10"/>
  <c r="AE62" i="10"/>
  <c r="AE94" i="10"/>
  <c r="AE126" i="10"/>
  <c r="AE158" i="10"/>
  <c r="AE190" i="10"/>
  <c r="AE79" i="10"/>
  <c r="AE121" i="10"/>
  <c r="AE164" i="10"/>
  <c r="AE60" i="10"/>
  <c r="AE145" i="10"/>
  <c r="AE72" i="10"/>
  <c r="AE115" i="10"/>
  <c r="AE157" i="10"/>
  <c r="AE200" i="10"/>
  <c r="AE140" i="10"/>
  <c r="AE187" i="10"/>
  <c r="AE117" i="10"/>
  <c r="AE78" i="10"/>
  <c r="AE110" i="10"/>
  <c r="AE142" i="10"/>
  <c r="AE174" i="10"/>
  <c r="AE57" i="10"/>
  <c r="AE100" i="10"/>
  <c r="AE143" i="10"/>
  <c r="AE185" i="10"/>
  <c r="AE103" i="10"/>
  <c r="AE188" i="10"/>
  <c r="AE93" i="10"/>
  <c r="AE136" i="10"/>
  <c r="AE179" i="10"/>
  <c r="AE97" i="10"/>
  <c r="AE183" i="10"/>
  <c r="AE101" i="10"/>
  <c r="AD9" i="10"/>
  <c r="AD63" i="10"/>
  <c r="AD74" i="10"/>
  <c r="AD85" i="10"/>
  <c r="AD90" i="10"/>
  <c r="AD58" i="10"/>
  <c r="AD69" i="10"/>
  <c r="AD79" i="10"/>
  <c r="AD57" i="10"/>
  <c r="AD78" i="10"/>
  <c r="AD95" i="10"/>
  <c r="AD106" i="10"/>
  <c r="AD117" i="10"/>
  <c r="AD127" i="10"/>
  <c r="AD138" i="10"/>
  <c r="AD149" i="10"/>
  <c r="AD159" i="10"/>
  <c r="AD170" i="10"/>
  <c r="AD181" i="10"/>
  <c r="AD191" i="10"/>
  <c r="AD202" i="10"/>
  <c r="AD73" i="10"/>
  <c r="AD105" i="10"/>
  <c r="AD126" i="10"/>
  <c r="AD147" i="10"/>
  <c r="AD179" i="10"/>
  <c r="AD201" i="10"/>
  <c r="AD89" i="10"/>
  <c r="AD111" i="10"/>
  <c r="AD133" i="10"/>
  <c r="AD154" i="10"/>
  <c r="AD175" i="10"/>
  <c r="AD197" i="10"/>
  <c r="AD62" i="10"/>
  <c r="AD83" i="10"/>
  <c r="AD99" i="10"/>
  <c r="AD110" i="10"/>
  <c r="AD121" i="10"/>
  <c r="AD131" i="10"/>
  <c r="AF131" i="10" s="1"/>
  <c r="AD142" i="10"/>
  <c r="AD153" i="10"/>
  <c r="AD163" i="10"/>
  <c r="AD174" i="10"/>
  <c r="AD185" i="10"/>
  <c r="AD195" i="10"/>
  <c r="AD94" i="10"/>
  <c r="AD115" i="10"/>
  <c r="AD137" i="10"/>
  <c r="AD158" i="10"/>
  <c r="AD169" i="10"/>
  <c r="AD190" i="10"/>
  <c r="AD67" i="10"/>
  <c r="AD101" i="10"/>
  <c r="AD122" i="10"/>
  <c r="AD143" i="10"/>
  <c r="AD165" i="10"/>
  <c r="AD186" i="10"/>
  <c r="AD60" i="10"/>
  <c r="AD76" i="10"/>
  <c r="AD92" i="10"/>
  <c r="AD108" i="10"/>
  <c r="AD124" i="10"/>
  <c r="AD140" i="10"/>
  <c r="AD156" i="10"/>
  <c r="AD172" i="10"/>
  <c r="AD188" i="10"/>
  <c r="AD193" i="10"/>
  <c r="AD171" i="10"/>
  <c r="AD150" i="10"/>
  <c r="AD129" i="10"/>
  <c r="AD107" i="10"/>
  <c r="AD86" i="10"/>
  <c r="AD65" i="10"/>
  <c r="AD189" i="10"/>
  <c r="AD167" i="10"/>
  <c r="AD146" i="10"/>
  <c r="AD125" i="10"/>
  <c r="AD103" i="10"/>
  <c r="AD82" i="10"/>
  <c r="AD61" i="10"/>
  <c r="AD72" i="10"/>
  <c r="AD104" i="10"/>
  <c r="AD136" i="10"/>
  <c r="AD168" i="10"/>
  <c r="AD200" i="10"/>
  <c r="AD198" i="10"/>
  <c r="AD155" i="10"/>
  <c r="AD113" i="10"/>
  <c r="AD70" i="10"/>
  <c r="AD173" i="10"/>
  <c r="AD130" i="10"/>
  <c r="AD87" i="10"/>
  <c r="AD68" i="10"/>
  <c r="AD100" i="10"/>
  <c r="AD132" i="10"/>
  <c r="AF132" i="10" s="1"/>
  <c r="AD164" i="10"/>
  <c r="AD196" i="10"/>
  <c r="AD161" i="10"/>
  <c r="AF161" i="10" s="1"/>
  <c r="AD139" i="10"/>
  <c r="AD97" i="10"/>
  <c r="AD199" i="10"/>
  <c r="AD157" i="10"/>
  <c r="AD114" i="10"/>
  <c r="AD71" i="10"/>
  <c r="AD64" i="10"/>
  <c r="AD80" i="10"/>
  <c r="AD96" i="10"/>
  <c r="AD112" i="10"/>
  <c r="AD128" i="10"/>
  <c r="AD144" i="10"/>
  <c r="AD160" i="10"/>
  <c r="AD176" i="10"/>
  <c r="AD192" i="10"/>
  <c r="AD187" i="10"/>
  <c r="AD166" i="10"/>
  <c r="AD145" i="10"/>
  <c r="AD123" i="10"/>
  <c r="AD102" i="10"/>
  <c r="AD81" i="10"/>
  <c r="AD59" i="10"/>
  <c r="AD183" i="10"/>
  <c r="AD162" i="10"/>
  <c r="AD141" i="10"/>
  <c r="AD119" i="10"/>
  <c r="AD98" i="10"/>
  <c r="AD77" i="10"/>
  <c r="AD88" i="10"/>
  <c r="AD120" i="10"/>
  <c r="AF120" i="10" s="1"/>
  <c r="AD152" i="10"/>
  <c r="AD184" i="10"/>
  <c r="AD177" i="10"/>
  <c r="AD134" i="10"/>
  <c r="AD91" i="10"/>
  <c r="AD194" i="10"/>
  <c r="AD151" i="10"/>
  <c r="AD109" i="10"/>
  <c r="AF109" i="10" s="1"/>
  <c r="AD66" i="10"/>
  <c r="AD84" i="10"/>
  <c r="AD116" i="10"/>
  <c r="AD148" i="10"/>
  <c r="AD180" i="10"/>
  <c r="AD182" i="10"/>
  <c r="AD118" i="10"/>
  <c r="AD75" i="10"/>
  <c r="AD178" i="10"/>
  <c r="AD135" i="10"/>
  <c r="AD93" i="10"/>
  <c r="AE86" i="10"/>
  <c r="AE150" i="10"/>
  <c r="AE68" i="10"/>
  <c r="AE153" i="10"/>
  <c r="AE124" i="10"/>
  <c r="AE104" i="10"/>
  <c r="AE189" i="10"/>
  <c r="AE144" i="10"/>
  <c r="AE114" i="10"/>
  <c r="AE178" i="10"/>
  <c r="AE105" i="10"/>
  <c r="AE113" i="10"/>
  <c r="AE184" i="10"/>
  <c r="AE165" i="10"/>
  <c r="AE58" i="10"/>
  <c r="AE122" i="10"/>
  <c r="AE186" i="10"/>
  <c r="AE116" i="10"/>
  <c r="AE201" i="10"/>
  <c r="AE67" i="10"/>
  <c r="AE152" i="10"/>
  <c r="AE129" i="10"/>
  <c r="AE71" i="10"/>
  <c r="AE163" i="10"/>
  <c r="AE181" i="10"/>
  <c r="AE166" i="10"/>
  <c r="AE89" i="10"/>
  <c r="AE175" i="10"/>
  <c r="AE167" i="10"/>
  <c r="AE125" i="10"/>
  <c r="AE76" i="10"/>
  <c r="AE59" i="10"/>
  <c r="AE66" i="10"/>
  <c r="AE130" i="10"/>
  <c r="AE194" i="10"/>
  <c r="AE148" i="10"/>
  <c r="AE199" i="10"/>
  <c r="AE108" i="10"/>
  <c r="AE74" i="10"/>
  <c r="AE138" i="10"/>
  <c r="AE202" i="10"/>
  <c r="AE137" i="10"/>
  <c r="AE92" i="10"/>
  <c r="AE88" i="10"/>
  <c r="AE173" i="10"/>
  <c r="AE172" i="10"/>
  <c r="AE123" i="10"/>
  <c r="AE139" i="10"/>
  <c r="AE156" i="10"/>
  <c r="AE65" i="10"/>
  <c r="AE80" i="10"/>
  <c r="AE43" i="10"/>
  <c r="AD19" i="10"/>
  <c r="AD16" i="10"/>
  <c r="AD11" i="10"/>
  <c r="AD54" i="10"/>
  <c r="AD4" i="10"/>
  <c r="AD52" i="10"/>
  <c r="AD49" i="10"/>
  <c r="AE18" i="10"/>
  <c r="AD34" i="10"/>
  <c r="AD48" i="10"/>
  <c r="AD14" i="10"/>
  <c r="AD33" i="10"/>
  <c r="AD51" i="10"/>
  <c r="AD20" i="10"/>
  <c r="AD47" i="10"/>
  <c r="AD29" i="10"/>
  <c r="AE56" i="10"/>
  <c r="AE49" i="10"/>
  <c r="AE37" i="10"/>
  <c r="AD43" i="10"/>
  <c r="AD36" i="10"/>
  <c r="AD22" i="10"/>
  <c r="AD3" i="10"/>
  <c r="AD17" i="10"/>
  <c r="AE6" i="10"/>
  <c r="AE5" i="10"/>
  <c r="AD26" i="10"/>
  <c r="AD15" i="10"/>
  <c r="AD32" i="10"/>
  <c r="AD50" i="10"/>
  <c r="AD39" i="10"/>
  <c r="AD45" i="10"/>
  <c r="AD13" i="10"/>
  <c r="AE12" i="10"/>
  <c r="AE23" i="10"/>
  <c r="AE25" i="10"/>
  <c r="AD38" i="10"/>
  <c r="AD6" i="10"/>
  <c r="AD27" i="10"/>
  <c r="AD56" i="10"/>
  <c r="AD40" i="10"/>
  <c r="AD24" i="10"/>
  <c r="AD8" i="10"/>
  <c r="AD30" i="10"/>
  <c r="AD55" i="10"/>
  <c r="AD23" i="10"/>
  <c r="AD53" i="10"/>
  <c r="AD37" i="10"/>
  <c r="AD21" i="10"/>
  <c r="AD5" i="10"/>
  <c r="AF5" i="10" s="1"/>
  <c r="AE32" i="10"/>
  <c r="AE3" i="10"/>
  <c r="AE4" i="10"/>
  <c r="AD46" i="10"/>
  <c r="AD18" i="10"/>
  <c r="AD35" i="10"/>
  <c r="AD7" i="10"/>
  <c r="AD44" i="10"/>
  <c r="AD28" i="10"/>
  <c r="AD12" i="10"/>
  <c r="AD42" i="10"/>
  <c r="AD10" i="10"/>
  <c r="AD31" i="10"/>
  <c r="AD2" i="10"/>
  <c r="AD41" i="10"/>
  <c r="AD25" i="10"/>
  <c r="AE33" i="10"/>
  <c r="AE54" i="10"/>
  <c r="AE51" i="10"/>
  <c r="AE53" i="10"/>
  <c r="AE36" i="10"/>
  <c r="AE7" i="10"/>
  <c r="AE8" i="10"/>
  <c r="AE20" i="10"/>
  <c r="AE22" i="10"/>
  <c r="AE13" i="10"/>
  <c r="AE44" i="10"/>
  <c r="AE34" i="10"/>
  <c r="AE31" i="10"/>
  <c r="AE10" i="10"/>
  <c r="AE9" i="10"/>
  <c r="AE30" i="10"/>
  <c r="AE28" i="10"/>
  <c r="AE14" i="10"/>
  <c r="AE46" i="10"/>
  <c r="AE11" i="10"/>
  <c r="AE17" i="10"/>
  <c r="AE27" i="10"/>
  <c r="AE45" i="10"/>
  <c r="AE24" i="10"/>
  <c r="AE40" i="10"/>
  <c r="AE15" i="10"/>
  <c r="AE55" i="10"/>
  <c r="AE47" i="10"/>
  <c r="AE52" i="10"/>
  <c r="AE38" i="10"/>
  <c r="AE29" i="10"/>
  <c r="AE19" i="10"/>
  <c r="AE50" i="10"/>
  <c r="AE21" i="10"/>
  <c r="AE42" i="10"/>
  <c r="AE41" i="10"/>
  <c r="AE16" i="10"/>
  <c r="AE26" i="10"/>
  <c r="AE48" i="10"/>
  <c r="AE35" i="10"/>
  <c r="AE39" i="10"/>
  <c r="AO187" i="10" l="1"/>
  <c r="AR187" i="10" s="1"/>
  <c r="AF98" i="10"/>
  <c r="AO168" i="10"/>
  <c r="AR168" i="10" s="1"/>
  <c r="AP146" i="10"/>
  <c r="AQ146" i="10" s="1"/>
  <c r="AP126" i="10"/>
  <c r="AO12" i="10"/>
  <c r="AR12" i="10" s="1"/>
  <c r="AP17" i="10"/>
  <c r="AP30" i="10"/>
  <c r="AP29" i="10"/>
  <c r="AO54" i="10"/>
  <c r="AR54" i="10" s="1"/>
  <c r="AP76" i="10"/>
  <c r="AP137" i="10"/>
  <c r="AO164" i="10"/>
  <c r="AR164" i="10" s="1"/>
  <c r="AP65" i="10"/>
  <c r="AQ65" i="10" s="1"/>
  <c r="AP53" i="10"/>
  <c r="AO72" i="10"/>
  <c r="AR72" i="10" s="1"/>
  <c r="AO200" i="10"/>
  <c r="AR200" i="10" s="1"/>
  <c r="AP48" i="10"/>
  <c r="AO82" i="10"/>
  <c r="AR82" i="10" s="1"/>
  <c r="AO43" i="10"/>
  <c r="AR43" i="10" s="1"/>
  <c r="AO37" i="10"/>
  <c r="AR37" i="10" s="1"/>
  <c r="AP113" i="10"/>
  <c r="AO46" i="10"/>
  <c r="AR46" i="10" s="1"/>
  <c r="AP132" i="10"/>
  <c r="AQ132" i="10" s="1"/>
  <c r="AP196" i="10"/>
  <c r="AQ196" i="10" s="1"/>
  <c r="AQ155" i="10"/>
  <c r="AP186" i="10"/>
  <c r="AQ186" i="10" s="1"/>
  <c r="AO180" i="10"/>
  <c r="AR180" i="10" s="1"/>
  <c r="AO175" i="10"/>
  <c r="AR175" i="10" s="1"/>
  <c r="AP130" i="10"/>
  <c r="AO40" i="10"/>
  <c r="AR40" i="10" s="1"/>
  <c r="AO3" i="10"/>
  <c r="AR3" i="10" s="1"/>
  <c r="AO194" i="10"/>
  <c r="AR194" i="10" s="1"/>
  <c r="AO155" i="10"/>
  <c r="AR155" i="10" s="1"/>
  <c r="AP103" i="10"/>
  <c r="AP120" i="10"/>
  <c r="AQ120" i="10" s="1"/>
  <c r="AO153" i="10"/>
  <c r="AR153" i="10" s="1"/>
  <c r="AP123" i="10"/>
  <c r="AQ123" i="10" s="1"/>
  <c r="AP193" i="10"/>
  <c r="AQ193" i="10" s="1"/>
  <c r="AP114" i="10"/>
  <c r="AQ114" i="10" s="1"/>
  <c r="AO50" i="10"/>
  <c r="AR50" i="10" s="1"/>
  <c r="AO97" i="10"/>
  <c r="AR97" i="10" s="1"/>
  <c r="AO57" i="10"/>
  <c r="AR57" i="10" s="1"/>
  <c r="AP58" i="10"/>
  <c r="AO199" i="10"/>
  <c r="AR199" i="10" s="1"/>
  <c r="AO39" i="10"/>
  <c r="AR39" i="10" s="1"/>
  <c r="AO91" i="10"/>
  <c r="AR91" i="10" s="1"/>
  <c r="AP83" i="10"/>
  <c r="AQ83" i="10" s="1"/>
  <c r="AO5" i="10"/>
  <c r="AR5" i="10" s="1"/>
  <c r="AP179" i="10"/>
  <c r="AO178" i="10"/>
  <c r="AR178" i="10" s="1"/>
  <c r="AP182" i="10"/>
  <c r="AQ182" i="10" s="1"/>
  <c r="AO150" i="10"/>
  <c r="AR150" i="10" s="1"/>
  <c r="AO19" i="10"/>
  <c r="AR19" i="10" s="1"/>
  <c r="AO173" i="10"/>
  <c r="AR173" i="10" s="1"/>
  <c r="AP23" i="10"/>
  <c r="AP34" i="10"/>
  <c r="AP28" i="10"/>
  <c r="AQ200" i="10"/>
  <c r="AP128" i="10"/>
  <c r="AQ128" i="10" s="1"/>
  <c r="AP107" i="10"/>
  <c r="AQ107" i="10" s="1"/>
  <c r="AP35" i="10"/>
  <c r="AO62" i="10"/>
  <c r="AR62" i="10" s="1"/>
  <c r="AO78" i="10"/>
  <c r="AR78" i="10" s="1"/>
  <c r="AO198" i="10"/>
  <c r="AR198" i="10" s="1"/>
  <c r="AP55" i="10"/>
  <c r="AQ151" i="10"/>
  <c r="AO56" i="10"/>
  <c r="AR56" i="10" s="1"/>
  <c r="AP184" i="10"/>
  <c r="AP33" i="10"/>
  <c r="AO149" i="10"/>
  <c r="AR149" i="10" s="1"/>
  <c r="AP140" i="10"/>
  <c r="AO106" i="10"/>
  <c r="AR106" i="10" s="1"/>
  <c r="AP171" i="10"/>
  <c r="AP13" i="10"/>
  <c r="AO73" i="10"/>
  <c r="AR73" i="10" s="1"/>
  <c r="AP90" i="10"/>
  <c r="AQ90" i="10" s="1"/>
  <c r="AP147" i="10"/>
  <c r="AP167" i="10"/>
  <c r="AP100" i="10"/>
  <c r="AQ100" i="10" s="1"/>
  <c r="AP25" i="10"/>
  <c r="AP119" i="10"/>
  <c r="AP154" i="10"/>
  <c r="AP116" i="10"/>
  <c r="AQ116" i="10" s="1"/>
  <c r="AO125" i="10"/>
  <c r="AR125" i="10" s="1"/>
  <c r="AO20" i="10"/>
  <c r="AR20" i="10" s="1"/>
  <c r="AO9" i="10"/>
  <c r="AR9" i="10" s="1"/>
  <c r="AP66" i="10"/>
  <c r="AO148" i="10"/>
  <c r="AR148" i="10" s="1"/>
  <c r="AO11" i="10"/>
  <c r="AR11" i="10" s="1"/>
  <c r="AO195" i="10"/>
  <c r="AR195" i="10" s="1"/>
  <c r="AO104" i="10"/>
  <c r="AR104" i="10" s="1"/>
  <c r="AP81" i="10"/>
  <c r="AO165" i="10"/>
  <c r="AR165" i="10" s="1"/>
  <c r="AP96" i="10"/>
  <c r="AQ96" i="10" s="1"/>
  <c r="AP172" i="10"/>
  <c r="AQ172" i="10" s="1"/>
  <c r="AO99" i="10"/>
  <c r="AR99" i="10" s="1"/>
  <c r="AP67" i="10"/>
  <c r="AQ67" i="10" s="1"/>
  <c r="AP31" i="10"/>
  <c r="AO49" i="10"/>
  <c r="AR49" i="10" s="1"/>
  <c r="AO181" i="10"/>
  <c r="AR181" i="10" s="1"/>
  <c r="AO151" i="10"/>
  <c r="AR151" i="10" s="1"/>
  <c r="AO110" i="10"/>
  <c r="AR110" i="10" s="1"/>
  <c r="AP183" i="10"/>
  <c r="AP170" i="10"/>
  <c r="AO121" i="10"/>
  <c r="AR121" i="10" s="1"/>
  <c r="AP102" i="10"/>
  <c r="AQ102" i="10" s="1"/>
  <c r="AP135" i="10"/>
  <c r="AP142" i="10"/>
  <c r="AQ142" i="10" s="1"/>
  <c r="AO160" i="10"/>
  <c r="AR160" i="10" s="1"/>
  <c r="AP152" i="10"/>
  <c r="AQ152" i="10" s="1"/>
  <c r="AO14" i="10"/>
  <c r="AR14" i="10" s="1"/>
  <c r="AP59" i="10"/>
  <c r="AQ59" i="10" s="1"/>
  <c r="AQ121" i="10"/>
  <c r="AP87" i="10"/>
  <c r="AQ87" i="10" s="1"/>
  <c r="AP190" i="10"/>
  <c r="AQ190" i="10" s="1"/>
  <c r="AO24" i="10"/>
  <c r="AR24" i="10" s="1"/>
  <c r="AO77" i="10"/>
  <c r="AR77" i="10" s="1"/>
  <c r="AP169" i="10"/>
  <c r="AQ169" i="10" s="1"/>
  <c r="AO159" i="10"/>
  <c r="AR159" i="10" s="1"/>
  <c r="AO80" i="10"/>
  <c r="AR80" i="10" s="1"/>
  <c r="AO98" i="10"/>
  <c r="AR98" i="10" s="1"/>
  <c r="AP79" i="10"/>
  <c r="AQ79" i="10" s="1"/>
  <c r="AP131" i="10"/>
  <c r="AP44" i="10"/>
  <c r="AP92" i="10"/>
  <c r="AQ92" i="10" s="1"/>
  <c r="AP105" i="10"/>
  <c r="AO201" i="10"/>
  <c r="AR201" i="10" s="1"/>
  <c r="AP32" i="10"/>
  <c r="AP45" i="10"/>
  <c r="AO89" i="10"/>
  <c r="AR89" i="10" s="1"/>
  <c r="AP52" i="10"/>
  <c r="AP144" i="10"/>
  <c r="AO174" i="10"/>
  <c r="AR174" i="10" s="1"/>
  <c r="AP8" i="10"/>
  <c r="AO145" i="10"/>
  <c r="AR145" i="10" s="1"/>
  <c r="AP41" i="10"/>
  <c r="AO127" i="10"/>
  <c r="AR127" i="10" s="1"/>
  <c r="AP122" i="10"/>
  <c r="AO85" i="10"/>
  <c r="AR85" i="10" s="1"/>
  <c r="AO21" i="10"/>
  <c r="AR21" i="10" s="1"/>
  <c r="AO124" i="10"/>
  <c r="AR124" i="10" s="1"/>
  <c r="AO197" i="10"/>
  <c r="AR197" i="10" s="1"/>
  <c r="AO51" i="10"/>
  <c r="AR51" i="10" s="1"/>
  <c r="AO118" i="10"/>
  <c r="AR118" i="10" s="1"/>
  <c r="AQ99" i="10"/>
  <c r="AP156" i="10"/>
  <c r="AQ156" i="10" s="1"/>
  <c r="AP191" i="10"/>
  <c r="AQ191" i="10" s="1"/>
  <c r="AO22" i="10"/>
  <c r="AR22" i="10" s="1"/>
  <c r="AP69" i="10"/>
  <c r="AO101" i="10"/>
  <c r="AR101" i="10" s="1"/>
  <c r="AP86" i="10"/>
  <c r="AQ86" i="10" s="1"/>
  <c r="AO86" i="10"/>
  <c r="AR86" i="10" s="1"/>
  <c r="AO134" i="10"/>
  <c r="AR134" i="10" s="1"/>
  <c r="AP139" i="10"/>
  <c r="AP26" i="10"/>
  <c r="AP185" i="10"/>
  <c r="AQ185" i="10" s="1"/>
  <c r="AP192" i="10"/>
  <c r="AQ192" i="10" s="1"/>
  <c r="AP4" i="10"/>
  <c r="AQ4" i="10" s="1"/>
  <c r="AP6" i="10"/>
  <c r="AO188" i="10"/>
  <c r="AR188" i="10" s="1"/>
  <c r="AO108" i="10"/>
  <c r="AR108" i="10" s="1"/>
  <c r="AP109" i="10"/>
  <c r="AQ109" i="10" s="1"/>
  <c r="AF128" i="10"/>
  <c r="AF195" i="10"/>
  <c r="AH195" i="10" s="1"/>
  <c r="AI195" i="10" s="1"/>
  <c r="AF135" i="10"/>
  <c r="AF170" i="10"/>
  <c r="AF143" i="10"/>
  <c r="AG143" i="10" s="1"/>
  <c r="AF177" i="10"/>
  <c r="AP133" i="10"/>
  <c r="AO36" i="10"/>
  <c r="AR36" i="10" s="1"/>
  <c r="AO111" i="10"/>
  <c r="AR111" i="10" s="1"/>
  <c r="AO74" i="10"/>
  <c r="AR74" i="10" s="1"/>
  <c r="AF118" i="10"/>
  <c r="AF160" i="10"/>
  <c r="AG160" i="10" s="1"/>
  <c r="AF82" i="10"/>
  <c r="AH82" i="10" s="1"/>
  <c r="AI82" i="10" s="1"/>
  <c r="AO166" i="10"/>
  <c r="AR166" i="10" s="1"/>
  <c r="AO202" i="10"/>
  <c r="AR202" i="10" s="1"/>
  <c r="AP143" i="10"/>
  <c r="AQ143" i="10" s="1"/>
  <c r="AQ93" i="10"/>
  <c r="AO42" i="10"/>
  <c r="AR42" i="10" s="1"/>
  <c r="AF192" i="10"/>
  <c r="AF137" i="10"/>
  <c r="AF6" i="10"/>
  <c r="AF168" i="10"/>
  <c r="AF185" i="10"/>
  <c r="AG185" i="10" s="1"/>
  <c r="AF43" i="10"/>
  <c r="AH43" i="10" s="1"/>
  <c r="AI43" i="10" s="1"/>
  <c r="AF95" i="10"/>
  <c r="AG95" i="10" s="1"/>
  <c r="AF25" i="10"/>
  <c r="AF70" i="10"/>
  <c r="AF72" i="10"/>
  <c r="AH72" i="10" s="1"/>
  <c r="AI72" i="10" s="1"/>
  <c r="AF147" i="10"/>
  <c r="AF46" i="10"/>
  <c r="AF91" i="10"/>
  <c r="AF199" i="10"/>
  <c r="AF110" i="10"/>
  <c r="AF111" i="10"/>
  <c r="AF202" i="10"/>
  <c r="AO176" i="10"/>
  <c r="AR176" i="10" s="1"/>
  <c r="AO115" i="10"/>
  <c r="AR115" i="10" s="1"/>
  <c r="AO10" i="10"/>
  <c r="AR10" i="10" s="1"/>
  <c r="AF66" i="10"/>
  <c r="AF64" i="10"/>
  <c r="AF186" i="10"/>
  <c r="AF197" i="10"/>
  <c r="AF57" i="10"/>
  <c r="AP60" i="10"/>
  <c r="AQ176" i="10"/>
  <c r="AQ61" i="10"/>
  <c r="AF44" i="10"/>
  <c r="AQ115" i="10"/>
  <c r="AO95" i="10"/>
  <c r="AR95" i="10" s="1"/>
  <c r="AF7" i="10"/>
  <c r="AF2" i="10"/>
  <c r="AF148" i="10"/>
  <c r="AF113" i="10"/>
  <c r="AF190" i="10"/>
  <c r="AF56" i="10"/>
  <c r="AF136" i="10"/>
  <c r="AF174" i="10"/>
  <c r="AF31" i="10"/>
  <c r="AF182" i="10"/>
  <c r="AF162" i="10"/>
  <c r="AF106" i="10"/>
  <c r="AH106" i="10" s="1"/>
  <c r="AI106" i="10" s="1"/>
  <c r="AF194" i="10"/>
  <c r="AF23" i="10"/>
  <c r="AF49" i="10"/>
  <c r="AF52" i="10"/>
  <c r="AF123" i="10"/>
  <c r="AF68" i="10"/>
  <c r="AF9" i="10"/>
  <c r="AF78" i="10"/>
  <c r="AF16" i="10"/>
  <c r="AF8" i="10"/>
  <c r="AF32" i="10"/>
  <c r="AF124" i="10"/>
  <c r="AG124" i="10" s="1"/>
  <c r="AF112" i="10"/>
  <c r="AF97" i="10"/>
  <c r="AF89" i="10"/>
  <c r="AF126" i="10"/>
  <c r="AO138" i="10"/>
  <c r="AR138" i="10" s="1"/>
  <c r="AP63" i="10"/>
  <c r="AF50" i="10"/>
  <c r="AF22" i="10"/>
  <c r="AF14" i="10"/>
  <c r="AF37" i="10"/>
  <c r="AF17" i="10"/>
  <c r="AF33" i="10"/>
  <c r="AF18" i="10"/>
  <c r="AF141" i="10"/>
  <c r="AH141" i="10" s="1"/>
  <c r="AI141" i="10" s="1"/>
  <c r="AF81" i="10"/>
  <c r="AG81" i="10" s="1"/>
  <c r="AF107" i="10"/>
  <c r="AF140" i="10"/>
  <c r="AF76" i="10"/>
  <c r="AF154" i="10"/>
  <c r="AF201" i="10"/>
  <c r="AF105" i="10"/>
  <c r="AH105" i="10" s="1"/>
  <c r="AI105" i="10" s="1"/>
  <c r="AO93" i="10"/>
  <c r="AR93" i="10" s="1"/>
  <c r="AO61" i="10"/>
  <c r="AR61" i="10" s="1"/>
  <c r="AF24" i="10"/>
  <c r="AP163" i="10"/>
  <c r="AF39" i="10"/>
  <c r="AF47" i="10"/>
  <c r="AF84" i="10"/>
  <c r="AF184" i="10"/>
  <c r="AG184" i="10" s="1"/>
  <c r="AF198" i="10"/>
  <c r="AF104" i="10"/>
  <c r="AH104" i="10" s="1"/>
  <c r="AI104" i="10" s="1"/>
  <c r="AF94" i="10"/>
  <c r="AF133" i="10"/>
  <c r="AF73" i="10"/>
  <c r="AF127" i="10"/>
  <c r="AF178" i="10"/>
  <c r="AF125" i="10"/>
  <c r="AF65" i="10"/>
  <c r="AF172" i="10"/>
  <c r="AG172" i="10" s="1"/>
  <c r="AF108" i="10"/>
  <c r="AF48" i="10"/>
  <c r="AF55" i="10"/>
  <c r="AF40" i="10"/>
  <c r="AF36" i="10"/>
  <c r="AF19" i="10"/>
  <c r="AF75" i="10"/>
  <c r="AF134" i="10"/>
  <c r="AF119" i="10"/>
  <c r="AF71" i="10"/>
  <c r="AF164" i="10"/>
  <c r="AF146" i="10"/>
  <c r="AF92" i="10"/>
  <c r="AF142" i="10"/>
  <c r="AF149" i="10"/>
  <c r="AO141" i="10"/>
  <c r="AR141" i="10" s="1"/>
  <c r="AP117" i="10"/>
  <c r="AO47" i="10"/>
  <c r="AR47" i="10" s="1"/>
  <c r="AO2" i="10"/>
  <c r="AR2" i="10" s="1"/>
  <c r="AO15" i="10"/>
  <c r="AR15" i="10" s="1"/>
  <c r="AF20" i="10"/>
  <c r="AG20" i="10" s="1"/>
  <c r="AF150" i="10"/>
  <c r="AH150" i="10" s="1"/>
  <c r="AI150" i="10" s="1"/>
  <c r="AF28" i="10"/>
  <c r="AF53" i="10"/>
  <c r="AF27" i="10"/>
  <c r="AF26" i="10"/>
  <c r="AF3" i="10"/>
  <c r="AF11" i="10"/>
  <c r="AH11" i="10" s="1"/>
  <c r="AI11" i="10" s="1"/>
  <c r="AF102" i="10"/>
  <c r="AF144" i="10"/>
  <c r="AF80" i="10"/>
  <c r="AF173" i="10"/>
  <c r="AF103" i="10"/>
  <c r="AH103" i="10" s="1"/>
  <c r="AI103" i="10" s="1"/>
  <c r="AF189" i="10"/>
  <c r="AF129" i="10"/>
  <c r="AH129" i="10" s="1"/>
  <c r="AI129" i="10" s="1"/>
  <c r="AF60" i="10"/>
  <c r="AF122" i="10"/>
  <c r="AF163" i="10"/>
  <c r="AF62" i="10"/>
  <c r="AF179" i="10"/>
  <c r="AF58" i="10"/>
  <c r="AF90" i="10"/>
  <c r="AG90" i="10" s="1"/>
  <c r="AF196" i="10"/>
  <c r="AG196" i="10" s="1"/>
  <c r="AF10" i="10"/>
  <c r="AF12" i="10"/>
  <c r="AF35" i="10"/>
  <c r="AF30" i="10"/>
  <c r="AF45" i="10"/>
  <c r="AF15" i="10"/>
  <c r="AH15" i="10" s="1"/>
  <c r="AI15" i="10" s="1"/>
  <c r="AF29" i="10"/>
  <c r="AF54" i="10"/>
  <c r="AG54" i="10" s="1"/>
  <c r="AF153" i="10"/>
  <c r="AF116" i="10"/>
  <c r="AF88" i="10"/>
  <c r="AH88" i="10" s="1"/>
  <c r="AI88" i="10" s="1"/>
  <c r="AF166" i="10"/>
  <c r="AF96" i="10"/>
  <c r="AG96" i="10" s="1"/>
  <c r="AF114" i="10"/>
  <c r="AF139" i="10"/>
  <c r="AF130" i="10"/>
  <c r="AF167" i="10"/>
  <c r="AF193" i="10"/>
  <c r="AG193" i="10" s="1"/>
  <c r="AF83" i="10"/>
  <c r="AG83" i="10" s="1"/>
  <c r="AF181" i="10"/>
  <c r="AF138" i="10"/>
  <c r="AF69" i="10"/>
  <c r="AH69" i="10" s="1"/>
  <c r="AI69" i="10" s="1"/>
  <c r="AF74" i="10"/>
  <c r="AF183" i="10"/>
  <c r="AH183" i="10" s="1"/>
  <c r="AI183" i="10" s="1"/>
  <c r="AF187" i="10"/>
  <c r="AF158" i="10"/>
  <c r="AF171" i="10"/>
  <c r="AF159" i="10"/>
  <c r="AF180" i="10"/>
  <c r="AF77" i="10"/>
  <c r="AF41" i="10"/>
  <c r="AF42" i="10"/>
  <c r="AF21" i="10"/>
  <c r="AF38" i="10"/>
  <c r="AF13" i="10"/>
  <c r="AF51" i="10"/>
  <c r="AG51" i="10" s="1"/>
  <c r="AF34" i="10"/>
  <c r="AF4" i="10"/>
  <c r="AG4" i="10" s="1"/>
  <c r="AF152" i="10"/>
  <c r="AF59" i="10"/>
  <c r="AG59" i="10" s="1"/>
  <c r="AF145" i="10"/>
  <c r="AF86" i="10"/>
  <c r="AF156" i="10"/>
  <c r="AF165" i="10"/>
  <c r="AF67" i="10"/>
  <c r="AF175" i="10"/>
  <c r="AF191" i="10"/>
  <c r="AF79" i="10"/>
  <c r="AF85" i="10"/>
  <c r="AF101" i="10"/>
  <c r="AF117" i="10"/>
  <c r="AF157" i="10"/>
  <c r="AF169" i="10"/>
  <c r="AF63" i="10"/>
  <c r="AF93" i="10"/>
  <c r="AG93" i="10" s="1"/>
  <c r="AF151" i="10"/>
  <c r="AH151" i="10" s="1"/>
  <c r="AI151" i="10" s="1"/>
  <c r="AF61" i="10"/>
  <c r="AH61" i="10" s="1"/>
  <c r="AI61" i="10" s="1"/>
  <c r="AF87" i="10"/>
  <c r="AH87" i="10" s="1"/>
  <c r="AI87" i="10" s="1"/>
  <c r="AF99" i="10"/>
  <c r="AG99" i="10" s="1"/>
  <c r="AF176" i="10"/>
  <c r="AH176" i="10" s="1"/>
  <c r="AI176" i="10" s="1"/>
  <c r="AQ188" i="10"/>
  <c r="AF188" i="10"/>
  <c r="AH188" i="10" s="1"/>
  <c r="AI188" i="10" s="1"/>
  <c r="AF115" i="10"/>
  <c r="AG115" i="10" s="1"/>
  <c r="AF200" i="10"/>
  <c r="AG200" i="10" s="1"/>
  <c r="AF155" i="10"/>
  <c r="AG155" i="10" s="1"/>
  <c r="AF121" i="10"/>
  <c r="AG121" i="10" s="1"/>
  <c r="AF100" i="10"/>
  <c r="AH100" i="10" s="1"/>
  <c r="AI100" i="10" s="1"/>
  <c r="AQ175" i="10"/>
  <c r="AQ145" i="10"/>
  <c r="AQ85" i="10"/>
  <c r="AQ159" i="10"/>
  <c r="AQ64" i="10"/>
  <c r="AQ129" i="10"/>
  <c r="AQ57" i="10"/>
  <c r="AQ84" i="10"/>
  <c r="AQ198" i="10"/>
  <c r="AQ73" i="10"/>
  <c r="AQ127" i="10"/>
  <c r="AQ51" i="10"/>
  <c r="AQ20" i="10"/>
  <c r="AQ101" i="10"/>
  <c r="AQ197" i="10"/>
  <c r="AH5" i="10"/>
  <c r="AI5" i="10" s="1"/>
  <c r="AQ5" i="10"/>
  <c r="AQ15" i="10"/>
  <c r="AQ54" i="10"/>
  <c r="AQ43" i="10"/>
  <c r="AQ75" i="10"/>
  <c r="AQ162" i="10"/>
  <c r="AQ111" i="10"/>
  <c r="AQ134" i="10"/>
  <c r="AH131" i="10"/>
  <c r="AI131" i="10" s="1"/>
  <c r="AQ71" i="10"/>
  <c r="AH68" i="10"/>
  <c r="AI68" i="10" s="1"/>
  <c r="AG109" i="10"/>
  <c r="AH109" i="10"/>
  <c r="AI109" i="10" s="1"/>
  <c r="AQ74" i="10"/>
  <c r="AQ148" i="10"/>
  <c r="AQ112" i="10"/>
  <c r="AQ164" i="10"/>
  <c r="AH120" i="10"/>
  <c r="AI120" i="10" s="1"/>
  <c r="AG120" i="10"/>
  <c r="AH64" i="10"/>
  <c r="AI64" i="10" s="1"/>
  <c r="AG64" i="10"/>
  <c r="AQ189" i="10"/>
  <c r="AQ181" i="10"/>
  <c r="AQ178" i="10"/>
  <c r="AQ199" i="10"/>
  <c r="AQ108" i="10"/>
  <c r="AQ158" i="10"/>
  <c r="AQ110" i="10"/>
  <c r="AQ202" i="10"/>
  <c r="AG43" i="10"/>
  <c r="AG5" i="10"/>
  <c r="AG129" i="10" l="1"/>
  <c r="AH90" i="10"/>
  <c r="AI90" i="10" s="1"/>
  <c r="AT90" i="10" s="1"/>
  <c r="AH143" i="10"/>
  <c r="AI143" i="10" s="1"/>
  <c r="AT143" i="10" s="1"/>
  <c r="AT151" i="10"/>
  <c r="AT100" i="10"/>
  <c r="AT87" i="10"/>
  <c r="AG176" i="10"/>
  <c r="AJ176" i="10" s="1"/>
  <c r="AS176" i="10" s="1"/>
  <c r="AH185" i="10"/>
  <c r="AI185" i="10" s="1"/>
  <c r="AT185" i="10" s="1"/>
  <c r="AG15" i="10"/>
  <c r="AJ15" i="10" s="1"/>
  <c r="AS15" i="10" s="1"/>
  <c r="AG151" i="10"/>
  <c r="AJ151" i="10" s="1"/>
  <c r="AS151" i="10" s="1"/>
  <c r="AT61" i="10"/>
  <c r="AT188" i="10"/>
  <c r="AT176" i="10"/>
  <c r="AH99" i="10"/>
  <c r="AI99" i="10" s="1"/>
  <c r="AT99" i="10" s="1"/>
  <c r="AG100" i="10"/>
  <c r="AJ100" i="10" s="1"/>
  <c r="AS100" i="10" s="1"/>
  <c r="AG61" i="10"/>
  <c r="AJ61" i="10" s="1"/>
  <c r="AS61" i="10" s="1"/>
  <c r="AH54" i="10"/>
  <c r="AI54" i="10" s="1"/>
  <c r="AT54" i="10" s="1"/>
  <c r="AG188" i="10"/>
  <c r="AJ188" i="10" s="1"/>
  <c r="AS188" i="10" s="1"/>
  <c r="AH155" i="10"/>
  <c r="AI155" i="10" s="1"/>
  <c r="AT155" i="10" s="1"/>
  <c r="AH51" i="10"/>
  <c r="AI51" i="10" s="1"/>
  <c r="AH196" i="10"/>
  <c r="AI196" i="10" s="1"/>
  <c r="AT196" i="10" s="1"/>
  <c r="AH20" i="10"/>
  <c r="AI20" i="10" s="1"/>
  <c r="AT20" i="10" s="1"/>
  <c r="AH93" i="10"/>
  <c r="AI93" i="10" s="1"/>
  <c r="AT93" i="10" s="1"/>
  <c r="AH4" i="10"/>
  <c r="AI4" i="10" s="1"/>
  <c r="AT4" i="10" s="1"/>
  <c r="AH121" i="10"/>
  <c r="AI121" i="10" s="1"/>
  <c r="AT121" i="10" s="1"/>
  <c r="AG87" i="10"/>
  <c r="AJ87" i="10" s="1"/>
  <c r="AS87" i="10" s="1"/>
  <c r="AH200" i="10"/>
  <c r="AI200" i="10" s="1"/>
  <c r="AT200" i="10" s="1"/>
  <c r="AH115" i="10"/>
  <c r="AI115" i="10" s="1"/>
  <c r="AT115" i="10" s="1"/>
  <c r="AG102" i="10"/>
  <c r="AJ102" i="10" s="1"/>
  <c r="AS102" i="10" s="1"/>
  <c r="AH175" i="10"/>
  <c r="AI175" i="10" s="1"/>
  <c r="AT175" i="10" s="1"/>
  <c r="AG79" i="10"/>
  <c r="AJ79" i="10" s="1"/>
  <c r="AS79" i="10" s="1"/>
  <c r="AH191" i="10"/>
  <c r="AI191" i="10" s="1"/>
  <c r="AT191" i="10" s="1"/>
  <c r="AH79" i="10"/>
  <c r="AI79" i="10" s="1"/>
  <c r="AT79" i="10" s="1"/>
  <c r="AH85" i="10"/>
  <c r="AI85" i="10" s="1"/>
  <c r="AT85" i="10" s="1"/>
  <c r="AH59" i="10"/>
  <c r="AI59" i="10" s="1"/>
  <c r="AT59" i="10" s="1"/>
  <c r="AG85" i="10"/>
  <c r="AJ85" i="10" s="1"/>
  <c r="AS85" i="10" s="1"/>
  <c r="AG175" i="10"/>
  <c r="AJ175" i="10" s="1"/>
  <c r="AS175" i="10" s="1"/>
  <c r="AH145" i="10"/>
  <c r="AI145" i="10" s="1"/>
  <c r="AT145" i="10" s="1"/>
  <c r="AG191" i="10"/>
  <c r="AJ191" i="10" s="1"/>
  <c r="AS191" i="10" s="1"/>
  <c r="AG145" i="10"/>
  <c r="AJ145" i="10" s="1"/>
  <c r="AS145" i="10" s="1"/>
  <c r="AH96" i="10"/>
  <c r="AI96" i="10" s="1"/>
  <c r="AT96" i="10" s="1"/>
  <c r="AH123" i="10"/>
  <c r="AI123" i="10" s="1"/>
  <c r="AT123" i="10" s="1"/>
  <c r="AH193" i="10"/>
  <c r="AI193" i="10" s="1"/>
  <c r="AT193" i="10" s="1"/>
  <c r="AG123" i="10"/>
  <c r="AJ123" i="10" s="1"/>
  <c r="AS123" i="10" s="1"/>
  <c r="AH83" i="10"/>
  <c r="AI83" i="10" s="1"/>
  <c r="AT83" i="10" s="1"/>
  <c r="AH65" i="10"/>
  <c r="AI65" i="10" s="1"/>
  <c r="AT65" i="10" s="1"/>
  <c r="AG65" i="10"/>
  <c r="AJ65" i="10" s="1"/>
  <c r="AS65" i="10" s="1"/>
  <c r="AT64" i="10"/>
  <c r="AG159" i="10"/>
  <c r="AJ159" i="10" s="1"/>
  <c r="AS159" i="10" s="1"/>
  <c r="AT129" i="10"/>
  <c r="AH172" i="10"/>
  <c r="AI172" i="10" s="1"/>
  <c r="AT172" i="10" s="1"/>
  <c r="AH159" i="10"/>
  <c r="AI159" i="10" s="1"/>
  <c r="AT159" i="10" s="1"/>
  <c r="AT120" i="10"/>
  <c r="AT109" i="10"/>
  <c r="AH57" i="10"/>
  <c r="AI57" i="10" s="1"/>
  <c r="AT57" i="10" s="1"/>
  <c r="AG57" i="10"/>
  <c r="AJ57" i="10" s="1"/>
  <c r="AS57" i="10" s="1"/>
  <c r="AG127" i="10"/>
  <c r="AH169" i="10"/>
  <c r="AI169" i="10" s="1"/>
  <c r="AT169" i="10" s="1"/>
  <c r="AG84" i="10"/>
  <c r="AJ84" i="10" s="1"/>
  <c r="AS84" i="10" s="1"/>
  <c r="AH73" i="10"/>
  <c r="AI73" i="10" s="1"/>
  <c r="AT73" i="10" s="1"/>
  <c r="AH84" i="10"/>
  <c r="AI84" i="10" s="1"/>
  <c r="AT84" i="10" s="1"/>
  <c r="AH102" i="10"/>
  <c r="AI102" i="10" s="1"/>
  <c r="AT102" i="10" s="1"/>
  <c r="AG71" i="10"/>
  <c r="AJ71" i="10" s="1"/>
  <c r="AS71" i="10" s="1"/>
  <c r="AG73" i="10"/>
  <c r="AJ73" i="10" s="1"/>
  <c r="AS73" i="10" s="1"/>
  <c r="AH198" i="10"/>
  <c r="AI198" i="10" s="1"/>
  <c r="AT198" i="10" s="1"/>
  <c r="AH127" i="10"/>
  <c r="AI127" i="10" s="1"/>
  <c r="AT127" i="10" s="1"/>
  <c r="AT5" i="10"/>
  <c r="AH75" i="10"/>
  <c r="AI75" i="10" s="1"/>
  <c r="AT75" i="10" s="1"/>
  <c r="AT43" i="10"/>
  <c r="AT15" i="10"/>
  <c r="AT51" i="10"/>
  <c r="AG2" i="10"/>
  <c r="AJ2" i="10" s="1"/>
  <c r="AS2" i="10" s="1"/>
  <c r="AH2" i="10"/>
  <c r="AI2" i="10" s="1"/>
  <c r="AH71" i="10"/>
  <c r="AI71" i="10" s="1"/>
  <c r="AT71" i="10" s="1"/>
  <c r="AG169" i="10"/>
  <c r="AJ169" i="10" s="1"/>
  <c r="AS169" i="10" s="1"/>
  <c r="AG198" i="10"/>
  <c r="AJ198" i="10" s="1"/>
  <c r="AS198" i="10" s="1"/>
  <c r="AG134" i="10"/>
  <c r="AJ134" i="10" s="1"/>
  <c r="AS134" i="10" s="1"/>
  <c r="AH197" i="10"/>
  <c r="AI197" i="10" s="1"/>
  <c r="AT197" i="10" s="1"/>
  <c r="AH101" i="10"/>
  <c r="AI101" i="10" s="1"/>
  <c r="AT101" i="10" s="1"/>
  <c r="AG75" i="10"/>
  <c r="AJ75" i="10" s="1"/>
  <c r="AS75" i="10" s="1"/>
  <c r="AH190" i="10"/>
  <c r="AI190" i="10" s="1"/>
  <c r="AT190" i="10" s="1"/>
  <c r="AG197" i="10"/>
  <c r="AH134" i="10"/>
  <c r="AI134" i="10" s="1"/>
  <c r="AT134" i="10" s="1"/>
  <c r="AG190" i="10"/>
  <c r="AJ190" i="10" s="1"/>
  <c r="AS190" i="10" s="1"/>
  <c r="AH146" i="10"/>
  <c r="AI146" i="10" s="1"/>
  <c r="AT146" i="10" s="1"/>
  <c r="AH86" i="10"/>
  <c r="AI86" i="10" s="1"/>
  <c r="AT86" i="10" s="1"/>
  <c r="AH107" i="10"/>
  <c r="AI107" i="10" s="1"/>
  <c r="AT107" i="10" s="1"/>
  <c r="AH182" i="10"/>
  <c r="AI182" i="10" s="1"/>
  <c r="AT182" i="10" s="1"/>
  <c r="AG86" i="10"/>
  <c r="AJ86" i="10" s="1"/>
  <c r="AS86" i="10" s="1"/>
  <c r="AG101" i="10"/>
  <c r="AG162" i="10"/>
  <c r="AH111" i="10"/>
  <c r="AI111" i="10" s="1"/>
  <c r="AT111" i="10" s="1"/>
  <c r="AJ54" i="10"/>
  <c r="AS54" i="10" s="1"/>
  <c r="AJ43" i="10"/>
  <c r="AS43" i="10" s="1"/>
  <c r="AH7" i="10"/>
  <c r="AI7" i="10" s="1"/>
  <c r="AQ7" i="10"/>
  <c r="AG55" i="10"/>
  <c r="AQ55" i="10"/>
  <c r="AH44" i="10"/>
  <c r="AI44" i="10" s="1"/>
  <c r="AQ44" i="10"/>
  <c r="AG32" i="10"/>
  <c r="AQ32" i="10"/>
  <c r="AG50" i="10"/>
  <c r="AQ50" i="10"/>
  <c r="AG36" i="10"/>
  <c r="AQ36" i="10"/>
  <c r="AH17" i="10"/>
  <c r="AI17" i="10" s="1"/>
  <c r="AQ17" i="10"/>
  <c r="AH29" i="10"/>
  <c r="AI29" i="10" s="1"/>
  <c r="AQ29" i="10"/>
  <c r="AG30" i="10"/>
  <c r="AQ30" i="10"/>
  <c r="AG16" i="10"/>
  <c r="AQ16" i="10"/>
  <c r="AJ90" i="10"/>
  <c r="AS90" i="10" s="1"/>
  <c r="AJ64" i="10"/>
  <c r="AS64" i="10" s="1"/>
  <c r="AJ115" i="10"/>
  <c r="AS115" i="10" s="1"/>
  <c r="AJ81" i="10"/>
  <c r="AS81" i="10" s="1"/>
  <c r="AH126" i="10"/>
  <c r="AI126" i="10" s="1"/>
  <c r="AQ126" i="10"/>
  <c r="AH133" i="10"/>
  <c r="AI133" i="10" s="1"/>
  <c r="AQ133" i="10"/>
  <c r="AG60" i="10"/>
  <c r="AQ60" i="10"/>
  <c r="AG161" i="10"/>
  <c r="AQ161" i="10"/>
  <c r="AG187" i="10"/>
  <c r="AQ187" i="10"/>
  <c r="AH135" i="10"/>
  <c r="AI135" i="10" s="1"/>
  <c r="AQ135" i="10"/>
  <c r="AG153" i="10"/>
  <c r="AQ153" i="10"/>
  <c r="AH165" i="10"/>
  <c r="AI165" i="10" s="1"/>
  <c r="AQ165" i="10"/>
  <c r="AG171" i="10"/>
  <c r="AQ171" i="10"/>
  <c r="AH138" i="10"/>
  <c r="AI138" i="10" s="1"/>
  <c r="AQ138" i="10"/>
  <c r="AH174" i="10"/>
  <c r="AI174" i="10" s="1"/>
  <c r="AQ174" i="10"/>
  <c r="AH167" i="10"/>
  <c r="AI167" i="10" s="1"/>
  <c r="AQ167" i="10"/>
  <c r="AG139" i="10"/>
  <c r="AQ139" i="10"/>
  <c r="AG141" i="10"/>
  <c r="AQ141" i="10"/>
  <c r="AT141" i="10" s="1"/>
  <c r="AG68" i="10"/>
  <c r="AQ68" i="10"/>
  <c r="AT68" i="10" s="1"/>
  <c r="AG94" i="10"/>
  <c r="AQ94" i="10"/>
  <c r="AH113" i="10"/>
  <c r="AI113" i="10" s="1"/>
  <c r="AQ113" i="10"/>
  <c r="AH98" i="10"/>
  <c r="AI98" i="10" s="1"/>
  <c r="AQ98" i="10"/>
  <c r="AG23" i="10"/>
  <c r="AQ23" i="10"/>
  <c r="AG119" i="10"/>
  <c r="AQ119" i="10"/>
  <c r="AG63" i="10"/>
  <c r="AQ63" i="10"/>
  <c r="AG89" i="10"/>
  <c r="AQ89" i="10"/>
  <c r="AG24" i="10"/>
  <c r="AQ24" i="10"/>
  <c r="AH53" i="10"/>
  <c r="AI53" i="10" s="1"/>
  <c r="AQ53" i="10"/>
  <c r="AH46" i="10"/>
  <c r="AI46" i="10" s="1"/>
  <c r="AQ46" i="10"/>
  <c r="AH21" i="10"/>
  <c r="AI21" i="10" s="1"/>
  <c r="AQ21" i="10"/>
  <c r="AG22" i="10"/>
  <c r="AQ22" i="10"/>
  <c r="AH27" i="10"/>
  <c r="AI27" i="10" s="1"/>
  <c r="AQ27" i="10"/>
  <c r="AH33" i="10"/>
  <c r="AI33" i="10" s="1"/>
  <c r="AQ33" i="10"/>
  <c r="AH45" i="10"/>
  <c r="AI45" i="10" s="1"/>
  <c r="AQ45" i="10"/>
  <c r="AG34" i="10"/>
  <c r="AQ34" i="10"/>
  <c r="AH52" i="10"/>
  <c r="AI52" i="10" s="1"/>
  <c r="AQ52" i="10"/>
  <c r="AH49" i="10"/>
  <c r="AI49" i="10" s="1"/>
  <c r="AQ49" i="10"/>
  <c r="AJ185" i="10"/>
  <c r="AS185" i="10" s="1"/>
  <c r="AJ121" i="10"/>
  <c r="AS121" i="10" s="1"/>
  <c r="AJ160" i="10"/>
  <c r="AS160" i="10" s="1"/>
  <c r="AJ95" i="10"/>
  <c r="AS95" i="10" s="1"/>
  <c r="AJ155" i="10"/>
  <c r="AS155" i="10" s="1"/>
  <c r="AJ59" i="10"/>
  <c r="AS59" i="10" s="1"/>
  <c r="AJ172" i="10"/>
  <c r="AS172" i="10" s="1"/>
  <c r="AJ184" i="10"/>
  <c r="AS184" i="10" s="1"/>
  <c r="AG91" i="10"/>
  <c r="AQ91" i="10"/>
  <c r="AH170" i="10"/>
  <c r="AI170" i="10" s="1"/>
  <c r="AQ170" i="10"/>
  <c r="AH122" i="10"/>
  <c r="AI122" i="10" s="1"/>
  <c r="AQ122" i="10"/>
  <c r="AH173" i="10"/>
  <c r="AI173" i="10" s="1"/>
  <c r="AQ173" i="10"/>
  <c r="AH144" i="10"/>
  <c r="AI144" i="10" s="1"/>
  <c r="AQ144" i="10"/>
  <c r="AG194" i="10"/>
  <c r="AQ194" i="10"/>
  <c r="AG147" i="10"/>
  <c r="AQ147" i="10"/>
  <c r="AH180" i="10"/>
  <c r="AI180" i="10" s="1"/>
  <c r="AQ180" i="10"/>
  <c r="AG149" i="10"/>
  <c r="AQ149" i="10"/>
  <c r="AH95" i="10"/>
  <c r="AI95" i="10" s="1"/>
  <c r="AQ95" i="10"/>
  <c r="AH154" i="10"/>
  <c r="AI154" i="10" s="1"/>
  <c r="AQ154" i="10"/>
  <c r="AH140" i="10"/>
  <c r="AI140" i="10" s="1"/>
  <c r="AQ140" i="10"/>
  <c r="AH130" i="10"/>
  <c r="AI130" i="10" s="1"/>
  <c r="AQ130" i="10"/>
  <c r="AH81" i="10"/>
  <c r="AI81" i="10" s="1"/>
  <c r="AQ81" i="10"/>
  <c r="AH118" i="10"/>
  <c r="AI118" i="10" s="1"/>
  <c r="AQ118" i="10"/>
  <c r="AH179" i="10"/>
  <c r="AI179" i="10" s="1"/>
  <c r="AQ179" i="10"/>
  <c r="AG70" i="10"/>
  <c r="AQ70" i="10"/>
  <c r="AJ4" i="10"/>
  <c r="AS4" i="10" s="1"/>
  <c r="AJ51" i="10"/>
  <c r="AS51" i="10" s="1"/>
  <c r="AJ5" i="10"/>
  <c r="AS5" i="10" s="1"/>
  <c r="AG28" i="10"/>
  <c r="AQ28" i="10"/>
  <c r="AH8" i="10"/>
  <c r="AI8" i="10" s="1"/>
  <c r="AQ8" i="10"/>
  <c r="AH6" i="10"/>
  <c r="AI6" i="10" s="1"/>
  <c r="AQ6" i="10"/>
  <c r="AH38" i="10"/>
  <c r="AI38" i="10" s="1"/>
  <c r="AQ38" i="10"/>
  <c r="AH39" i="10"/>
  <c r="AI39" i="10" s="1"/>
  <c r="AQ39" i="10"/>
  <c r="AH3" i="10"/>
  <c r="AI3" i="10" s="1"/>
  <c r="AQ3" i="10"/>
  <c r="AG18" i="10"/>
  <c r="AQ18" i="10"/>
  <c r="AG13" i="10"/>
  <c r="AQ13" i="10"/>
  <c r="AG25" i="10"/>
  <c r="AQ25" i="10"/>
  <c r="AG48" i="10"/>
  <c r="AQ48" i="10"/>
  <c r="AG19" i="10"/>
  <c r="AQ19" i="10"/>
  <c r="AJ196" i="10"/>
  <c r="AS196" i="10" s="1"/>
  <c r="AJ96" i="10"/>
  <c r="AS96" i="10" s="1"/>
  <c r="AJ120" i="10"/>
  <c r="AS120" i="10" s="1"/>
  <c r="AJ83" i="10"/>
  <c r="AS83" i="10" s="1"/>
  <c r="AJ93" i="10"/>
  <c r="AS93" i="10" s="1"/>
  <c r="AJ193" i="10"/>
  <c r="AS193" i="10" s="1"/>
  <c r="AJ200" i="10"/>
  <c r="AS200" i="10" s="1"/>
  <c r="AJ124" i="10"/>
  <c r="AS124" i="10" s="1"/>
  <c r="AJ143" i="10"/>
  <c r="AS143" i="10" s="1"/>
  <c r="AJ129" i="10"/>
  <c r="AS129" i="10" s="1"/>
  <c r="AG58" i="10"/>
  <c r="AQ58" i="10"/>
  <c r="AH163" i="10"/>
  <c r="AI163" i="10" s="1"/>
  <c r="AQ163" i="10"/>
  <c r="AG104" i="10"/>
  <c r="AQ104" i="10"/>
  <c r="AT104" i="10" s="1"/>
  <c r="AG80" i="10"/>
  <c r="AQ80" i="10"/>
  <c r="AH184" i="10"/>
  <c r="AI184" i="10" s="1"/>
  <c r="AQ184" i="10"/>
  <c r="AH117" i="10"/>
  <c r="AI117" i="10" s="1"/>
  <c r="AQ117" i="10"/>
  <c r="AH125" i="10"/>
  <c r="AI125" i="10" s="1"/>
  <c r="AQ125" i="10"/>
  <c r="AG168" i="10"/>
  <c r="AQ168" i="10"/>
  <c r="AG69" i="10"/>
  <c r="AQ69" i="10"/>
  <c r="AT69" i="10" s="1"/>
  <c r="AH201" i="10"/>
  <c r="AI201" i="10" s="1"/>
  <c r="AQ201" i="10"/>
  <c r="AG76" i="10"/>
  <c r="AQ76" i="10"/>
  <c r="AH136" i="10"/>
  <c r="AI136" i="10" s="1"/>
  <c r="AQ136" i="10"/>
  <c r="AH166" i="10"/>
  <c r="AI166" i="10" s="1"/>
  <c r="AQ166" i="10"/>
  <c r="AH177" i="10"/>
  <c r="AI177" i="10" s="1"/>
  <c r="AQ177" i="10"/>
  <c r="AG78" i="10"/>
  <c r="AQ78" i="10"/>
  <c r="AG66" i="10"/>
  <c r="AQ66" i="10"/>
  <c r="AG72" i="10"/>
  <c r="AQ72" i="10"/>
  <c r="AT72" i="10" s="1"/>
  <c r="AG131" i="10"/>
  <c r="AQ131" i="10"/>
  <c r="AT131" i="10" s="1"/>
  <c r="AG47" i="10"/>
  <c r="AQ47" i="10"/>
  <c r="AG31" i="10"/>
  <c r="AQ31" i="10"/>
  <c r="AG41" i="10"/>
  <c r="AQ41" i="10"/>
  <c r="AG42" i="10"/>
  <c r="AQ42" i="10"/>
  <c r="AG10" i="10"/>
  <c r="AQ10" i="10"/>
  <c r="AG26" i="10"/>
  <c r="AQ26" i="10"/>
  <c r="AH37" i="10"/>
  <c r="AI37" i="10" s="1"/>
  <c r="AQ37" i="10"/>
  <c r="AG40" i="10"/>
  <c r="AQ40" i="10"/>
  <c r="AH35" i="10"/>
  <c r="AI35" i="10" s="1"/>
  <c r="AQ35" i="10"/>
  <c r="AH12" i="10"/>
  <c r="AI12" i="10" s="1"/>
  <c r="AQ12" i="10"/>
  <c r="AG56" i="10"/>
  <c r="AQ56" i="10"/>
  <c r="AG14" i="10"/>
  <c r="AQ14" i="10"/>
  <c r="AJ99" i="10"/>
  <c r="AS99" i="10" s="1"/>
  <c r="AJ109" i="10"/>
  <c r="AS109" i="10" s="1"/>
  <c r="AG97" i="10"/>
  <c r="AQ97" i="10"/>
  <c r="AG62" i="10"/>
  <c r="AQ62" i="10"/>
  <c r="AH124" i="10"/>
  <c r="AI124" i="10" s="1"/>
  <c r="AQ124" i="10"/>
  <c r="AG157" i="10"/>
  <c r="AQ157" i="10"/>
  <c r="AG77" i="10"/>
  <c r="AQ77" i="10"/>
  <c r="AH137" i="10"/>
  <c r="AI137" i="10" s="1"/>
  <c r="AQ137" i="10"/>
  <c r="AG195" i="10"/>
  <c r="AQ195" i="10"/>
  <c r="AT195" i="10" s="1"/>
  <c r="AG106" i="10"/>
  <c r="AQ106" i="10"/>
  <c r="AT106" i="10" s="1"/>
  <c r="AG183" i="10"/>
  <c r="AQ183" i="10"/>
  <c r="AT183" i="10" s="1"/>
  <c r="AG105" i="10"/>
  <c r="AQ105" i="10"/>
  <c r="AT105" i="10" s="1"/>
  <c r="AG82" i="10"/>
  <c r="AQ82" i="10"/>
  <c r="AT82" i="10" s="1"/>
  <c r="AH160" i="10"/>
  <c r="AI160" i="10" s="1"/>
  <c r="AQ160" i="10"/>
  <c r="AG88" i="10"/>
  <c r="AQ88" i="10"/>
  <c r="AT88" i="10" s="1"/>
  <c r="AH9" i="10"/>
  <c r="AI9" i="10" s="1"/>
  <c r="AQ9" i="10"/>
  <c r="AG103" i="10"/>
  <c r="AQ103" i="10"/>
  <c r="AT103" i="10" s="1"/>
  <c r="AG150" i="10"/>
  <c r="AQ150" i="10"/>
  <c r="AT150" i="10" s="1"/>
  <c r="AG11" i="10"/>
  <c r="AQ11" i="10"/>
  <c r="AT11" i="10" s="1"/>
  <c r="AJ20" i="10"/>
  <c r="AS20" i="10" s="1"/>
  <c r="AG138" i="10"/>
  <c r="AG192" i="10"/>
  <c r="AH23" i="10"/>
  <c r="AI23" i="10" s="1"/>
  <c r="AH132" i="10"/>
  <c r="AI132" i="10" s="1"/>
  <c r="AT132" i="10" s="1"/>
  <c r="AH192" i="10"/>
  <c r="AI192" i="10" s="1"/>
  <c r="AT192" i="10" s="1"/>
  <c r="AH94" i="10"/>
  <c r="AI94" i="10" s="1"/>
  <c r="AG182" i="10"/>
  <c r="AG98" i="10"/>
  <c r="AH139" i="10"/>
  <c r="AI139" i="10" s="1"/>
  <c r="AH70" i="10"/>
  <c r="AI70" i="10" s="1"/>
  <c r="AG132" i="10"/>
  <c r="AH162" i="10"/>
  <c r="AI162" i="10" s="1"/>
  <c r="AT162" i="10" s="1"/>
  <c r="AG135" i="10"/>
  <c r="AG107" i="10"/>
  <c r="AG111" i="10"/>
  <c r="AG146" i="10"/>
  <c r="AG179" i="10"/>
  <c r="AG113" i="10"/>
  <c r="AG174" i="10"/>
  <c r="AH63" i="10"/>
  <c r="AI63" i="10" s="1"/>
  <c r="AH60" i="10"/>
  <c r="AI60" i="10" s="1"/>
  <c r="AH89" i="10"/>
  <c r="AI89" i="10" s="1"/>
  <c r="AH119" i="10"/>
  <c r="AI119" i="10" s="1"/>
  <c r="AH147" i="10"/>
  <c r="AI147" i="10" s="1"/>
  <c r="AG118" i="10"/>
  <c r="AG167" i="10"/>
  <c r="AH194" i="10"/>
  <c r="AI194" i="10" s="1"/>
  <c r="AH171" i="10"/>
  <c r="AI171" i="10" s="1"/>
  <c r="AG133" i="10"/>
  <c r="AH187" i="10"/>
  <c r="AI187" i="10" s="1"/>
  <c r="AH47" i="10"/>
  <c r="AI47" i="10" s="1"/>
  <c r="AH80" i="10"/>
  <c r="AI80" i="10" s="1"/>
  <c r="AH66" i="10"/>
  <c r="AI66" i="10" s="1"/>
  <c r="AH168" i="10"/>
  <c r="AI168" i="10" s="1"/>
  <c r="AG163" i="10"/>
  <c r="AG9" i="10"/>
  <c r="AH62" i="10"/>
  <c r="AI62" i="10" s="1"/>
  <c r="AG125" i="10"/>
  <c r="AH76" i="10"/>
  <c r="AI76" i="10" s="1"/>
  <c r="AG166" i="10"/>
  <c r="AH157" i="10"/>
  <c r="AI157" i="10" s="1"/>
  <c r="AH34" i="10"/>
  <c r="AI34" i="10" s="1"/>
  <c r="AG49" i="10"/>
  <c r="AG117" i="10"/>
  <c r="AH153" i="10"/>
  <c r="AI153" i="10" s="1"/>
  <c r="AG165" i="10"/>
  <c r="AH97" i="10"/>
  <c r="AI97" i="10" s="1"/>
  <c r="AH161" i="10"/>
  <c r="AI161" i="10" s="1"/>
  <c r="AG126" i="10"/>
  <c r="AG122" i="10"/>
  <c r="AG180" i="10"/>
  <c r="AG154" i="10"/>
  <c r="AG136" i="10"/>
  <c r="AG177" i="10"/>
  <c r="AG201" i="10"/>
  <c r="AH78" i="10"/>
  <c r="AI78" i="10" s="1"/>
  <c r="AH58" i="10"/>
  <c r="AI58" i="10" s="1"/>
  <c r="AG170" i="10"/>
  <c r="AG144" i="10"/>
  <c r="AH149" i="10"/>
  <c r="AI149" i="10" s="1"/>
  <c r="AG140" i="10"/>
  <c r="AG130" i="10"/>
  <c r="AH91" i="10"/>
  <c r="AI91" i="10" s="1"/>
  <c r="AQ2" i="10"/>
  <c r="AG173" i="10"/>
  <c r="AH77" i="10"/>
  <c r="AI77" i="10" s="1"/>
  <c r="AG137" i="10"/>
  <c r="AH128" i="10"/>
  <c r="AI128" i="10" s="1"/>
  <c r="AT128" i="10" s="1"/>
  <c r="AG128" i="10"/>
  <c r="AH148" i="10"/>
  <c r="AI148" i="10" s="1"/>
  <c r="AT148" i="10" s="1"/>
  <c r="AG148" i="10"/>
  <c r="AG110" i="10"/>
  <c r="AH110" i="10"/>
  <c r="AI110" i="10" s="1"/>
  <c r="AT110" i="10" s="1"/>
  <c r="AG181" i="10"/>
  <c r="AH181" i="10"/>
  <c r="AI181" i="10" s="1"/>
  <c r="AT181" i="10" s="1"/>
  <c r="AH112" i="10"/>
  <c r="AI112" i="10" s="1"/>
  <c r="AT112" i="10" s="1"/>
  <c r="AG112" i="10"/>
  <c r="AH202" i="10"/>
  <c r="AI202" i="10" s="1"/>
  <c r="AT202" i="10" s="1"/>
  <c r="AG202" i="10"/>
  <c r="AH108" i="10"/>
  <c r="AI108" i="10" s="1"/>
  <c r="AT108" i="10" s="1"/>
  <c r="AG108" i="10"/>
  <c r="AG178" i="10"/>
  <c r="AH178" i="10"/>
  <c r="AI178" i="10" s="1"/>
  <c r="AT178" i="10" s="1"/>
  <c r="AG142" i="10"/>
  <c r="AH142" i="10"/>
  <c r="AI142" i="10" s="1"/>
  <c r="AT142" i="10" s="1"/>
  <c r="AH164" i="10"/>
  <c r="AI164" i="10" s="1"/>
  <c r="AT164" i="10" s="1"/>
  <c r="AG164" i="10"/>
  <c r="AH114" i="10"/>
  <c r="AI114" i="10" s="1"/>
  <c r="AT114" i="10" s="1"/>
  <c r="AG114" i="10"/>
  <c r="AG158" i="10"/>
  <c r="AH158" i="10"/>
  <c r="AI158" i="10" s="1"/>
  <c r="AT158" i="10" s="1"/>
  <c r="AH116" i="10"/>
  <c r="AI116" i="10" s="1"/>
  <c r="AT116" i="10" s="1"/>
  <c r="AG116" i="10"/>
  <c r="AH92" i="10"/>
  <c r="AI92" i="10" s="1"/>
  <c r="AT92" i="10" s="1"/>
  <c r="AG92" i="10"/>
  <c r="AG199" i="10"/>
  <c r="AH199" i="10"/>
  <c r="AI199" i="10" s="1"/>
  <c r="AT199" i="10" s="1"/>
  <c r="AG67" i="10"/>
  <c r="AH67" i="10"/>
  <c r="AI67" i="10" s="1"/>
  <c r="AT67" i="10" s="1"/>
  <c r="AH186" i="10"/>
  <c r="AI186" i="10" s="1"/>
  <c r="AT186" i="10" s="1"/>
  <c r="AG186" i="10"/>
  <c r="AH152" i="10"/>
  <c r="AI152" i="10" s="1"/>
  <c r="AT152" i="10" s="1"/>
  <c r="AG152" i="10"/>
  <c r="AH189" i="10"/>
  <c r="AI189" i="10" s="1"/>
  <c r="AT189" i="10" s="1"/>
  <c r="AG189" i="10"/>
  <c r="AH156" i="10"/>
  <c r="AI156" i="10" s="1"/>
  <c r="AT156" i="10" s="1"/>
  <c r="AG156" i="10"/>
  <c r="AH74" i="10"/>
  <c r="AI74" i="10" s="1"/>
  <c r="AT74" i="10" s="1"/>
  <c r="AG74" i="10"/>
  <c r="AH14" i="10"/>
  <c r="AI14" i="10" s="1"/>
  <c r="AH19" i="10"/>
  <c r="AI19" i="10" s="1"/>
  <c r="AH16" i="10"/>
  <c r="AI16" i="10" s="1"/>
  <c r="AG38" i="10"/>
  <c r="AG17" i="10"/>
  <c r="AH32" i="10"/>
  <c r="AI32" i="10" s="1"/>
  <c r="AH30" i="10"/>
  <c r="AI30" i="10" s="1"/>
  <c r="AH50" i="10"/>
  <c r="AI50" i="10" s="1"/>
  <c r="AH25" i="10"/>
  <c r="AI25" i="10" s="1"/>
  <c r="AH18" i="10"/>
  <c r="AI18" i="10" s="1"/>
  <c r="AG33" i="10"/>
  <c r="AG52" i="10"/>
  <c r="AG45" i="10"/>
  <c r="AH13" i="10"/>
  <c r="AI13" i="10" s="1"/>
  <c r="AG6" i="10"/>
  <c r="AH48" i="10"/>
  <c r="AI48" i="10" s="1"/>
  <c r="AG53" i="10"/>
  <c r="AG3" i="10"/>
  <c r="AG12" i="10"/>
  <c r="AG37" i="10"/>
  <c r="AG35" i="10"/>
  <c r="AG29" i="10"/>
  <c r="AH56" i="10"/>
  <c r="AI56" i="10" s="1"/>
  <c r="AH22" i="10"/>
  <c r="AI22" i="10" s="1"/>
  <c r="AH10" i="10"/>
  <c r="AI10" i="10" s="1"/>
  <c r="AG8" i="10"/>
  <c r="AH40" i="10"/>
  <c r="AI40" i="10" s="1"/>
  <c r="AH36" i="10"/>
  <c r="AI36" i="10" s="1"/>
  <c r="AG27" i="10"/>
  <c r="AH55" i="10"/>
  <c r="AI55" i="10" s="1"/>
  <c r="AH41" i="10"/>
  <c r="AI41" i="10" s="1"/>
  <c r="AG44" i="10"/>
  <c r="AG39" i="10"/>
  <c r="AH42" i="10"/>
  <c r="AI42" i="10" s="1"/>
  <c r="AH26" i="10"/>
  <c r="AI26" i="10" s="1"/>
  <c r="AG7" i="10"/>
  <c r="AG21" i="10"/>
  <c r="AH31" i="10"/>
  <c r="AI31" i="10" s="1"/>
  <c r="AG46" i="10"/>
  <c r="AH28" i="10"/>
  <c r="AI28" i="10" s="1"/>
  <c r="AH24" i="10"/>
  <c r="AI24" i="10" s="1"/>
  <c r="AJ127" i="10" l="1"/>
  <c r="AS127" i="10" s="1"/>
  <c r="AT149" i="10"/>
  <c r="AT147" i="10"/>
  <c r="AT16" i="10"/>
  <c r="AT9" i="10"/>
  <c r="AT160" i="10"/>
  <c r="AT137" i="10"/>
  <c r="AT63" i="10"/>
  <c r="AT171" i="10"/>
  <c r="AT37" i="10"/>
  <c r="AT184" i="10"/>
  <c r="AT35" i="10"/>
  <c r="AT166" i="10"/>
  <c r="AT125" i="10"/>
  <c r="AT13" i="10"/>
  <c r="AT3" i="10"/>
  <c r="AT38" i="10"/>
  <c r="AT8" i="10"/>
  <c r="AT118" i="10"/>
  <c r="AT130" i="10"/>
  <c r="AT154" i="10"/>
  <c r="AT144" i="10"/>
  <c r="AT122" i="10"/>
  <c r="AT91" i="10"/>
  <c r="AT49" i="10"/>
  <c r="AT33" i="10"/>
  <c r="AT46" i="10"/>
  <c r="AT23" i="10"/>
  <c r="AT113" i="10"/>
  <c r="AT174" i="10"/>
  <c r="AT126" i="10"/>
  <c r="AT29" i="10"/>
  <c r="AT32" i="10"/>
  <c r="AT55" i="10"/>
  <c r="AT40" i="10"/>
  <c r="AT26" i="10"/>
  <c r="AT80" i="10"/>
  <c r="AT24" i="10"/>
  <c r="AT187" i="10"/>
  <c r="AT42" i="10"/>
  <c r="AT70" i="10"/>
  <c r="AT34" i="10"/>
  <c r="AT31" i="10"/>
  <c r="AT62" i="10"/>
  <c r="AT153" i="10"/>
  <c r="AT14" i="10"/>
  <c r="AT177" i="10"/>
  <c r="AT136" i="10"/>
  <c r="AT117" i="10"/>
  <c r="AT163" i="10"/>
  <c r="AT77" i="10"/>
  <c r="AT124" i="10"/>
  <c r="AT97" i="10"/>
  <c r="AT19" i="10"/>
  <c r="AT25" i="10"/>
  <c r="AT18" i="10"/>
  <c r="AT39" i="10"/>
  <c r="AT6" i="10"/>
  <c r="AT28" i="10"/>
  <c r="AT179" i="10"/>
  <c r="AT81" i="10"/>
  <c r="AT140" i="10"/>
  <c r="AT95" i="10"/>
  <c r="AT180" i="10"/>
  <c r="AT194" i="10"/>
  <c r="AT173" i="10"/>
  <c r="AT170" i="10"/>
  <c r="AT52" i="10"/>
  <c r="AT45" i="10"/>
  <c r="AT27" i="10"/>
  <c r="AT21" i="10"/>
  <c r="AT53" i="10"/>
  <c r="AT89" i="10"/>
  <c r="AT119" i="10"/>
  <c r="AT98" i="10"/>
  <c r="AT94" i="10"/>
  <c r="AT167" i="10"/>
  <c r="AT138" i="10"/>
  <c r="AT165" i="10"/>
  <c r="AT135" i="10"/>
  <c r="AT161" i="10"/>
  <c r="AT133" i="10"/>
  <c r="AT30" i="10"/>
  <c r="AT17" i="10"/>
  <c r="AT50" i="10"/>
  <c r="AT44" i="10"/>
  <c r="AT7" i="10"/>
  <c r="AT157" i="10"/>
  <c r="AT48" i="10"/>
  <c r="AT22" i="10"/>
  <c r="AT139" i="10"/>
  <c r="AT60" i="10"/>
  <c r="AT36" i="10"/>
  <c r="AT12" i="10"/>
  <c r="AT66" i="10"/>
  <c r="AT201" i="10"/>
  <c r="AT168" i="10"/>
  <c r="AT2" i="10"/>
  <c r="AT56" i="10"/>
  <c r="AT10" i="10"/>
  <c r="AT41" i="10"/>
  <c r="AT47" i="10"/>
  <c r="AT78" i="10"/>
  <c r="AT76" i="10"/>
  <c r="AT58" i="10"/>
  <c r="AJ162" i="10"/>
  <c r="AS162" i="10" s="1"/>
  <c r="AJ197" i="10"/>
  <c r="AS197" i="10" s="1"/>
  <c r="AJ101" i="10"/>
  <c r="AS101" i="10" s="1"/>
  <c r="AJ39" i="10"/>
  <c r="AS39" i="10" s="1"/>
  <c r="AJ53" i="10"/>
  <c r="AS53" i="10" s="1"/>
  <c r="AJ67" i="10"/>
  <c r="AS67" i="10" s="1"/>
  <c r="AJ178" i="10"/>
  <c r="AS178" i="10" s="1"/>
  <c r="AJ181" i="10"/>
  <c r="AS181" i="10" s="1"/>
  <c r="AJ170" i="10"/>
  <c r="AS170" i="10" s="1"/>
  <c r="AJ122" i="10"/>
  <c r="AS122" i="10" s="1"/>
  <c r="AJ167" i="10"/>
  <c r="AS167" i="10" s="1"/>
  <c r="AJ113" i="10"/>
  <c r="AS113" i="10" s="1"/>
  <c r="AJ107" i="10"/>
  <c r="AS107" i="10" s="1"/>
  <c r="AJ29" i="10"/>
  <c r="AS29" i="10" s="1"/>
  <c r="AJ156" i="10"/>
  <c r="AS156" i="10" s="1"/>
  <c r="AJ92" i="10"/>
  <c r="AS92" i="10" s="1"/>
  <c r="AJ164" i="10"/>
  <c r="AS164" i="10" s="1"/>
  <c r="AJ202" i="10"/>
  <c r="AS202" i="10" s="1"/>
  <c r="AJ148" i="10"/>
  <c r="AS148" i="10" s="1"/>
  <c r="AJ201" i="10"/>
  <c r="AS201" i="10" s="1"/>
  <c r="AJ163" i="10"/>
  <c r="AS163" i="10" s="1"/>
  <c r="AJ174" i="10"/>
  <c r="AS174" i="10" s="1"/>
  <c r="AJ132" i="10"/>
  <c r="AS132" i="10" s="1"/>
  <c r="AJ105" i="10"/>
  <c r="AS105" i="10" s="1"/>
  <c r="AJ62" i="10"/>
  <c r="AS62" i="10" s="1"/>
  <c r="AJ56" i="10"/>
  <c r="AS56" i="10" s="1"/>
  <c r="AJ41" i="10"/>
  <c r="AS41" i="10" s="1"/>
  <c r="AJ72" i="10"/>
  <c r="AS72" i="10" s="1"/>
  <c r="AJ69" i="10"/>
  <c r="AS69" i="10" s="1"/>
  <c r="AJ104" i="10"/>
  <c r="AS104" i="10" s="1"/>
  <c r="AJ48" i="10"/>
  <c r="AS48" i="10" s="1"/>
  <c r="AJ70" i="10"/>
  <c r="AS70" i="10" s="1"/>
  <c r="AJ149" i="10"/>
  <c r="AS149" i="10" s="1"/>
  <c r="AJ147" i="10"/>
  <c r="AS147" i="10" s="1"/>
  <c r="AJ89" i="10"/>
  <c r="AS89" i="10" s="1"/>
  <c r="AJ141" i="10"/>
  <c r="AS141" i="10" s="1"/>
  <c r="AJ16" i="10"/>
  <c r="AS16" i="10" s="1"/>
  <c r="AJ36" i="10"/>
  <c r="AS36" i="10" s="1"/>
  <c r="AJ46" i="10"/>
  <c r="AS46" i="10" s="1"/>
  <c r="AJ6" i="10"/>
  <c r="AS6" i="10" s="1"/>
  <c r="AJ7" i="10"/>
  <c r="AS7" i="10" s="1"/>
  <c r="AJ44" i="10"/>
  <c r="AS44" i="10" s="1"/>
  <c r="AJ37" i="10"/>
  <c r="AS37" i="10" s="1"/>
  <c r="AJ52" i="10"/>
  <c r="AS52" i="10" s="1"/>
  <c r="AJ38" i="10"/>
  <c r="AS38" i="10" s="1"/>
  <c r="AJ74" i="10"/>
  <c r="AS74" i="10" s="1"/>
  <c r="AJ189" i="10"/>
  <c r="AS189" i="10" s="1"/>
  <c r="AJ186" i="10"/>
  <c r="AS186" i="10" s="1"/>
  <c r="AJ116" i="10"/>
  <c r="AS116" i="10" s="1"/>
  <c r="AJ114" i="10"/>
  <c r="AS114" i="10" s="1"/>
  <c r="AJ108" i="10"/>
  <c r="AS108" i="10" s="1"/>
  <c r="AJ112" i="10"/>
  <c r="AS112" i="10" s="1"/>
  <c r="AJ128" i="10"/>
  <c r="AS128" i="10" s="1"/>
  <c r="AJ173" i="10"/>
  <c r="AS173" i="10" s="1"/>
  <c r="AJ140" i="10"/>
  <c r="AS140" i="10" s="1"/>
  <c r="AJ136" i="10"/>
  <c r="AS136" i="10" s="1"/>
  <c r="AJ126" i="10"/>
  <c r="AS126" i="10" s="1"/>
  <c r="AJ133" i="10"/>
  <c r="AS133" i="10" s="1"/>
  <c r="AJ118" i="10"/>
  <c r="AS118" i="10" s="1"/>
  <c r="AJ179" i="10"/>
  <c r="AS179" i="10" s="1"/>
  <c r="AJ135" i="10"/>
  <c r="AS135" i="10" s="1"/>
  <c r="AJ138" i="10"/>
  <c r="AS138" i="10" s="1"/>
  <c r="AJ11" i="10"/>
  <c r="AS11" i="10" s="1"/>
  <c r="AJ103" i="10"/>
  <c r="AS103" i="10" s="1"/>
  <c r="AJ88" i="10"/>
  <c r="AS88" i="10" s="1"/>
  <c r="AJ82" i="10"/>
  <c r="AS82" i="10" s="1"/>
  <c r="AJ183" i="10"/>
  <c r="AS183" i="10" s="1"/>
  <c r="AJ195" i="10"/>
  <c r="AS195" i="10" s="1"/>
  <c r="AJ77" i="10"/>
  <c r="AS77" i="10" s="1"/>
  <c r="AJ97" i="10"/>
  <c r="AS97" i="10" s="1"/>
  <c r="AJ14" i="10"/>
  <c r="AS14" i="10" s="1"/>
  <c r="AJ40" i="10"/>
  <c r="AS40" i="10" s="1"/>
  <c r="AJ26" i="10"/>
  <c r="AS26" i="10" s="1"/>
  <c r="AJ42" i="10"/>
  <c r="AS42" i="10" s="1"/>
  <c r="AJ31" i="10"/>
  <c r="AS31" i="10" s="1"/>
  <c r="AJ131" i="10"/>
  <c r="AS131" i="10" s="1"/>
  <c r="AJ66" i="10"/>
  <c r="AS66" i="10" s="1"/>
  <c r="AJ168" i="10"/>
  <c r="AS168" i="10" s="1"/>
  <c r="AJ80" i="10"/>
  <c r="AS80" i="10" s="1"/>
  <c r="AJ19" i="10"/>
  <c r="AS19" i="10" s="1"/>
  <c r="AJ25" i="10"/>
  <c r="AS25" i="10" s="1"/>
  <c r="AJ18" i="10"/>
  <c r="AS18" i="10" s="1"/>
  <c r="AJ28" i="10"/>
  <c r="AS28" i="10" s="1"/>
  <c r="AJ194" i="10"/>
  <c r="AS194" i="10" s="1"/>
  <c r="AJ34" i="10"/>
  <c r="AS34" i="10" s="1"/>
  <c r="AJ22" i="10"/>
  <c r="AS22" i="10" s="1"/>
  <c r="AJ24" i="10"/>
  <c r="AS24" i="10" s="1"/>
  <c r="AJ63" i="10"/>
  <c r="AS63" i="10" s="1"/>
  <c r="AJ23" i="10"/>
  <c r="AS23" i="10" s="1"/>
  <c r="AJ68" i="10"/>
  <c r="AS68" i="10" s="1"/>
  <c r="AJ139" i="10"/>
  <c r="AS139" i="10" s="1"/>
  <c r="AJ171" i="10"/>
  <c r="AS171" i="10" s="1"/>
  <c r="AJ153" i="10"/>
  <c r="AS153" i="10" s="1"/>
  <c r="AJ187" i="10"/>
  <c r="AS187" i="10" s="1"/>
  <c r="AJ60" i="10"/>
  <c r="AS60" i="10" s="1"/>
  <c r="AJ30" i="10"/>
  <c r="AS30" i="10" s="1"/>
  <c r="AJ50" i="10"/>
  <c r="AS50" i="10" s="1"/>
  <c r="AJ21" i="10"/>
  <c r="AS21" i="10" s="1"/>
  <c r="AJ27" i="10"/>
  <c r="AS27" i="10" s="1"/>
  <c r="AJ35" i="10"/>
  <c r="AS35" i="10" s="1"/>
  <c r="AJ45" i="10"/>
  <c r="AS45" i="10" s="1"/>
  <c r="AJ17" i="10"/>
  <c r="AS17" i="10" s="1"/>
  <c r="AJ158" i="10"/>
  <c r="AS158" i="10" s="1"/>
  <c r="AJ130" i="10"/>
  <c r="AS130" i="10" s="1"/>
  <c r="AJ177" i="10"/>
  <c r="AS177" i="10" s="1"/>
  <c r="AJ165" i="10"/>
  <c r="AS165" i="10" s="1"/>
  <c r="AJ125" i="10"/>
  <c r="AS125" i="10" s="1"/>
  <c r="AJ192" i="10"/>
  <c r="AS192" i="10" s="1"/>
  <c r="AJ8" i="10"/>
  <c r="AS8" i="10" s="1"/>
  <c r="AJ3" i="10"/>
  <c r="AS3" i="10" s="1"/>
  <c r="AJ152" i="10"/>
  <c r="AS152" i="10" s="1"/>
  <c r="AJ137" i="10"/>
  <c r="AS137" i="10" s="1"/>
  <c r="AJ144" i="10"/>
  <c r="AS144" i="10" s="1"/>
  <c r="AJ180" i="10"/>
  <c r="AS180" i="10" s="1"/>
  <c r="AJ49" i="10"/>
  <c r="AS49" i="10" s="1"/>
  <c r="AJ111" i="10"/>
  <c r="AS111" i="10" s="1"/>
  <c r="AJ182" i="10"/>
  <c r="AS182" i="10" s="1"/>
  <c r="AJ150" i="10"/>
  <c r="AS150" i="10" s="1"/>
  <c r="AJ106" i="10"/>
  <c r="AS106" i="10" s="1"/>
  <c r="AJ157" i="10"/>
  <c r="AS157" i="10" s="1"/>
  <c r="AJ10" i="10"/>
  <c r="AS10" i="10" s="1"/>
  <c r="AJ47" i="10"/>
  <c r="AS47" i="10" s="1"/>
  <c r="AJ78" i="10"/>
  <c r="AS78" i="10" s="1"/>
  <c r="AJ76" i="10"/>
  <c r="AS76" i="10" s="1"/>
  <c r="AJ58" i="10"/>
  <c r="AS58" i="10" s="1"/>
  <c r="AJ13" i="10"/>
  <c r="AS13" i="10" s="1"/>
  <c r="AJ91" i="10"/>
  <c r="AS91" i="10" s="1"/>
  <c r="AJ119" i="10"/>
  <c r="AS119" i="10" s="1"/>
  <c r="AJ94" i="10"/>
  <c r="AS94" i="10" s="1"/>
  <c r="AJ161" i="10"/>
  <c r="AS161" i="10" s="1"/>
  <c r="AJ32" i="10"/>
  <c r="AS32" i="10" s="1"/>
  <c r="AJ55" i="10"/>
  <c r="AS55" i="10" s="1"/>
  <c r="AJ12" i="10"/>
  <c r="AS12" i="10" s="1"/>
  <c r="AJ33" i="10"/>
  <c r="AS33" i="10" s="1"/>
  <c r="AJ199" i="10"/>
  <c r="AS199" i="10" s="1"/>
  <c r="AJ142" i="10"/>
  <c r="AS142" i="10" s="1"/>
  <c r="AJ110" i="10"/>
  <c r="AS110" i="10" s="1"/>
  <c r="AJ154" i="10"/>
  <c r="AS154" i="10" s="1"/>
  <c r="AJ117" i="10"/>
  <c r="AS117" i="10" s="1"/>
  <c r="AJ166" i="10"/>
  <c r="AS166" i="10" s="1"/>
  <c r="AJ9" i="10"/>
  <c r="AS9" i="10" s="1"/>
  <c r="AJ146" i="10"/>
  <c r="AS146" i="10" s="1"/>
  <c r="AJ98" i="10"/>
  <c r="AS98" i="10" s="1"/>
  <c r="B7" i="10" l="1"/>
  <c r="B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00000000-0006-0000-0100-000001000000}">
      <text>
        <r>
          <rPr>
            <sz val="9"/>
            <color indexed="81"/>
            <rFont val="Tahoma"/>
            <family val="2"/>
          </rPr>
          <t>Nominal Input Voltage</t>
        </r>
      </text>
    </comment>
  </commentList>
</comments>
</file>

<file path=xl/sharedStrings.xml><?xml version="1.0" encoding="utf-8"?>
<sst xmlns="http://schemas.openxmlformats.org/spreadsheetml/2006/main" count="203" uniqueCount="137">
  <si>
    <t>Vin</t>
  </si>
  <si>
    <t>Vout</t>
  </si>
  <si>
    <t>Iout</t>
  </si>
  <si>
    <t>Lo</t>
  </si>
  <si>
    <t>Co</t>
  </si>
  <si>
    <t>Resr</t>
  </si>
  <si>
    <t>Sc</t>
  </si>
  <si>
    <t>D'</t>
  </si>
  <si>
    <t>Fsw</t>
  </si>
  <si>
    <t>Tsw</t>
  </si>
  <si>
    <t>wn</t>
  </si>
  <si>
    <t>Qp</t>
  </si>
  <si>
    <t>wz1</t>
  </si>
  <si>
    <t>wz2</t>
  </si>
  <si>
    <t>wp1</t>
  </si>
  <si>
    <t>M</t>
  </si>
  <si>
    <t>mc</t>
  </si>
  <si>
    <t>Sn</t>
  </si>
  <si>
    <t>Rout</t>
  </si>
  <si>
    <t>Vout(s)/Verr(s)</t>
  </si>
  <si>
    <t>s</t>
  </si>
  <si>
    <t>g1</t>
  </si>
  <si>
    <t>g2</t>
  </si>
  <si>
    <t>g3</t>
  </si>
  <si>
    <t>g4</t>
  </si>
  <si>
    <t>|Vout(s)/Verr(s)|</t>
  </si>
  <si>
    <t>ang</t>
  </si>
  <si>
    <t>f</t>
  </si>
  <si>
    <t>°</t>
  </si>
  <si>
    <t>db</t>
  </si>
  <si>
    <t>sa</t>
  </si>
  <si>
    <t>Design Parameters</t>
  </si>
  <si>
    <t>Min</t>
  </si>
  <si>
    <t>Nominal</t>
  </si>
  <si>
    <t>Max</t>
  </si>
  <si>
    <t>Dmax</t>
  </si>
  <si>
    <t>Units</t>
  </si>
  <si>
    <t>V</t>
  </si>
  <si>
    <t>A</t>
  </si>
  <si>
    <t>%</t>
  </si>
  <si>
    <t>Vdrv</t>
  </si>
  <si>
    <t>Which Resistor Would you Like to Select?</t>
  </si>
  <si>
    <t>Ideal Vout</t>
  </si>
  <si>
    <t>Ω</t>
  </si>
  <si>
    <t>Device Current Limit</t>
  </si>
  <si>
    <t>mV</t>
  </si>
  <si>
    <t>kHz</t>
  </si>
  <si>
    <t>Maximum Average Inductor Current</t>
  </si>
  <si>
    <t>A/s</t>
  </si>
  <si>
    <t>Desired Peak to Peak Ripple Percentage At Low Vin</t>
  </si>
  <si>
    <t>Peak to Peak Current Ripple at Low Vin</t>
  </si>
  <si>
    <t>Assumed Efficiency</t>
  </si>
  <si>
    <t>Minimum Inductor Value</t>
  </si>
  <si>
    <t>μH</t>
  </si>
  <si>
    <t>Inductor Value Used</t>
  </si>
  <si>
    <t>Peak to Peak Current Ripple at Low Vin, Actual Inductor</t>
  </si>
  <si>
    <t>Irms</t>
  </si>
  <si>
    <t>Ipeak</t>
  </si>
  <si>
    <t>Peak Current</t>
  </si>
  <si>
    <t>Desired Current Limit</t>
  </si>
  <si>
    <t>Recommended Current Sense Resistor</t>
  </si>
  <si>
    <t>Current Sense Resistor Used</t>
  </si>
  <si>
    <r>
      <t>m</t>
    </r>
    <r>
      <rPr>
        <sz val="11"/>
        <color theme="1"/>
        <rFont val="Calibri"/>
        <family val="2"/>
      </rPr>
      <t>Ω</t>
    </r>
  </si>
  <si>
    <t>Power Loss in Rsense at low vin, max rated current</t>
  </si>
  <si>
    <t>D</t>
  </si>
  <si>
    <t>Nom</t>
  </si>
  <si>
    <t>Real Peak Current (min)</t>
  </si>
  <si>
    <t>Real Peak Current (max)</t>
  </si>
  <si>
    <t>W</t>
  </si>
  <si>
    <t>Output Capacitance Used</t>
  </si>
  <si>
    <t>ESR at Switching Frequency</t>
  </si>
  <si>
    <t>Input Capacitance Used</t>
  </si>
  <si>
    <t>Voltage Required</t>
  </si>
  <si>
    <t>Power Dissipation</t>
  </si>
  <si>
    <t>Switching Losses</t>
  </si>
  <si>
    <t>Conduction Losses</t>
  </si>
  <si>
    <t>RDS,ON</t>
  </si>
  <si>
    <t>Forward Voltage Drop</t>
  </si>
  <si>
    <t>Power Loss</t>
  </si>
  <si>
    <t>Required Reverse Voltage</t>
  </si>
  <si>
    <t>Average Current</t>
  </si>
  <si>
    <t>Output Voltage Ripple</t>
  </si>
  <si>
    <t>Current Ripple Rating Required</t>
  </si>
  <si>
    <t>μF</t>
  </si>
  <si>
    <t>Input Voltage Ripple</t>
  </si>
  <si>
    <t>Input Current Ripple</t>
  </si>
  <si>
    <t>Worst Case Input Voltage</t>
  </si>
  <si>
    <t>nC</t>
  </si>
  <si>
    <t>Switch Turn On Time</t>
  </si>
  <si>
    <t>Switch Turn Off Time</t>
  </si>
  <si>
    <t>ns</t>
  </si>
  <si>
    <t>Graph Settings</t>
  </si>
  <si>
    <t>Minimum Frequency</t>
  </si>
  <si>
    <t>Maximum Frequency</t>
  </si>
  <si>
    <t>Hz</t>
  </si>
  <si>
    <t>R</t>
  </si>
  <si>
    <t>C1</t>
  </si>
  <si>
    <t>C2</t>
  </si>
  <si>
    <t>ota1</t>
  </si>
  <si>
    <t>ota2</t>
  </si>
  <si>
    <t>ota3</t>
  </si>
  <si>
    <t>g(s)</t>
  </si>
  <si>
    <t>nF</t>
  </si>
  <si>
    <t>|(g(s)|</t>
  </si>
  <si>
    <t>Desired Crossover Frequency</t>
  </si>
  <si>
    <t>Pole Location</t>
  </si>
  <si>
    <t>Zero Location</t>
  </si>
  <si>
    <t>R value used</t>
  </si>
  <si>
    <t>C1 value used</t>
  </si>
  <si>
    <t>C2 value used</t>
  </si>
  <si>
    <t>Gain At Frequency</t>
  </si>
  <si>
    <t>Suggested RC value</t>
  </si>
  <si>
    <t>Suggested CC1 value</t>
  </si>
  <si>
    <t>Suggested CC2 value</t>
  </si>
  <si>
    <t>It is intended to provide first pass values and does not replace simulation and prototyping.</t>
  </si>
  <si>
    <t>Enter values into the green cells in order by sheet for best results.</t>
  </si>
  <si>
    <t>This tool is intended to assist the user when designing with the NCV898031 for continuous conduction mode boost applications.</t>
  </si>
  <si>
    <t>Rev 1 (May 2014): Corrected current sense power loss equation</t>
  </si>
  <si>
    <t>Rev 2 (12 June 2014):  Corrected compensation analysis.  1) s =  i*f corrected to s = i*2*pie*f.  2) Improved the OTA model (ref How2power.com Alain Laprade paper)</t>
  </si>
  <si>
    <t>OTA Parameters</t>
  </si>
  <si>
    <t>C0</t>
  </si>
  <si>
    <t>F</t>
  </si>
  <si>
    <t>R0</t>
  </si>
  <si>
    <t>Rotaesd</t>
  </si>
  <si>
    <t>gm</t>
  </si>
  <si>
    <t>wz1e</t>
  </si>
  <si>
    <t>wz2e</t>
  </si>
  <si>
    <t>wp1e</t>
  </si>
  <si>
    <t>wp2e</t>
  </si>
  <si>
    <t>comp_C1</t>
  </si>
  <si>
    <t>comp_C2</t>
  </si>
  <si>
    <t>Qg(tot) at operational MOSFET Vgs (used to verify IC gate drive capability, not for loss analysis).  A warning message appears to the right if total gate charge is too high.</t>
  </si>
  <si>
    <t>Revision 3:  Correction &amp; usage clarification to mazimum recommended MOSFET Gate Charge.</t>
  </si>
  <si>
    <r>
      <t>Revision 4:  Revised Slope compensation information from 34 mV/</t>
    </r>
    <r>
      <rPr>
        <sz val="11"/>
        <color theme="1"/>
        <rFont val="Calibri"/>
        <family val="2"/>
      </rPr>
      <t>µs to 68 mV/µs</t>
    </r>
  </si>
  <si>
    <t>NCV898031 Boost Design Tool Revision 5 (23JAN19)</t>
  </si>
  <si>
    <t>Revision 5:  Correction made in compensation component selection (section 9)</t>
  </si>
  <si>
    <r>
      <t>mV/</t>
    </r>
    <r>
      <rPr>
        <sz val="11"/>
        <rFont val="Calibri"/>
        <family val="2"/>
      </rPr>
      <t>μs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</si>
</sst>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1" applyNumberFormat="0" applyAlignment="0">
      <protection hidden="1"/>
    </xf>
    <xf numFmtId="0" fontId="1" fillId="3" borderId="0">
      <protection locked="0"/>
    </xf>
  </cellStyleXfs>
  <cellXfs count="22">
    <xf numFmtId="0" fontId="0" fillId="0" borderId="0" xfId="0"/>
    <xf numFmtId="0" fontId="3" fillId="0" borderId="0" xfId="0" applyFont="1"/>
    <xf numFmtId="0" fontId="1" fillId="3" borderId="0" xfId="2">
      <protection locked="0"/>
    </xf>
    <xf numFmtId="0" fontId="2" fillId="2" borderId="1" xfId="1">
      <protection hidden="1"/>
    </xf>
    <xf numFmtId="0" fontId="3" fillId="0" borderId="0" xfId="0" applyFont="1" applyFill="1" applyBorder="1"/>
    <xf numFmtId="0" fontId="0" fillId="0" borderId="0" xfId="0" applyProtection="1">
      <protection hidden="1"/>
    </xf>
    <xf numFmtId="0" fontId="1" fillId="3" borderId="0" xfId="2" applyProtection="1">
      <protection locked="0" hidden="1"/>
    </xf>
    <xf numFmtId="0" fontId="5" fillId="0" borderId="0" xfId="0" applyFont="1"/>
    <xf numFmtId="0" fontId="0" fillId="0" borderId="0" xfId="0" applyProtection="1">
      <protection locked="0" hidden="1"/>
    </xf>
    <xf numFmtId="0" fontId="2" fillId="2" borderId="1" xfId="1" applyProtection="1">
      <protection locked="0" hidden="1"/>
    </xf>
    <xf numFmtId="0" fontId="6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0" fillId="0" borderId="0" xfId="0" applyAlignment="1">
      <alignment wrapText="1"/>
    </xf>
    <xf numFmtId="0" fontId="9" fillId="0" borderId="0" xfId="0" applyFont="1"/>
    <xf numFmtId="0" fontId="2" fillId="2" borderId="1" xfId="1" quotePrefix="1">
      <protection hidden="1"/>
    </xf>
    <xf numFmtId="0" fontId="6" fillId="0" borderId="0" xfId="0" applyFont="1"/>
    <xf numFmtId="0" fontId="6" fillId="3" borderId="0" xfId="2" applyFont="1" applyAlignment="1">
      <alignment horizontal="center"/>
      <protection locked="0"/>
    </xf>
    <xf numFmtId="0" fontId="6" fillId="0" borderId="0" xfId="0" applyFont="1" applyAlignment="1">
      <alignment horizontal="center"/>
    </xf>
    <xf numFmtId="0" fontId="6" fillId="0" borderId="0" xfId="0" applyFont="1" applyProtection="1">
      <protection locked="0" hidden="1"/>
    </xf>
    <xf numFmtId="0" fontId="6" fillId="0" borderId="0" xfId="2" applyFont="1" applyFill="1" applyAlignment="1" applyProtection="1">
      <alignment horizontal="center"/>
    </xf>
    <xf numFmtId="0" fontId="6" fillId="0" borderId="0" xfId="2" applyFont="1" applyFill="1" applyBorder="1" applyAlignment="1" applyProtection="1">
      <alignment horizontal="center"/>
    </xf>
  </cellXfs>
  <cellStyles count="3">
    <cellStyle name="Normál" xfId="0" builtinId="0"/>
    <cellStyle name="ONInput" xfId="2" xr:uid="{00000000-0005-0000-0000-000002000000}"/>
    <cellStyle name="Számítás" xfId="1" builtinId="22" customBuiltin="1"/>
  </cellStyles>
  <dxfs count="2">
    <dxf>
      <font>
        <color theme="5" tint="-0.24994659260841701"/>
      </font>
      <fill>
        <patternFill>
          <bgColor theme="5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Phase of Vout</a:t>
            </a:r>
            <a:r>
              <a:rPr lang="en-US" baseline="0"/>
              <a:t> / Verr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'9. Loop Compensation'!$AI$1</c:f>
              <c:strCache>
                <c:ptCount val="1"/>
                <c:pt idx="0">
                  <c:v>°</c:v>
                </c:pt>
              </c:strCache>
            </c:strRef>
          </c:tx>
          <c:marker>
            <c:symbol val="none"/>
          </c:marker>
          <c:xVal>
            <c:numRef>
              <c:f>'9. Loop Compensation'!$Z$2:$Z$201</c:f>
              <c:numCache>
                <c:formatCode>General</c:formatCode>
                <c:ptCount val="200"/>
                <c:pt idx="0">
                  <c:v>1</c:v>
                </c:pt>
                <c:pt idx="1">
                  <c:v>1.0715193052376064</c:v>
                </c:pt>
                <c:pt idx="2">
                  <c:v>1.1481536214968828</c:v>
                </c:pt>
                <c:pt idx="3">
                  <c:v>1.2302687708123814</c:v>
                </c:pt>
                <c:pt idx="4">
                  <c:v>1.318256738556407</c:v>
                </c:pt>
                <c:pt idx="5">
                  <c:v>1.4125375446227544</c:v>
                </c:pt>
                <c:pt idx="6">
                  <c:v>1.513561248436208</c:v>
                </c:pt>
                <c:pt idx="7">
                  <c:v>1.6218100973589298</c:v>
                </c:pt>
                <c:pt idx="8">
                  <c:v>1.7378008287493754</c:v>
                </c:pt>
                <c:pt idx="9">
                  <c:v>1.8620871366628673</c:v>
                </c:pt>
                <c:pt idx="10">
                  <c:v>1.9952623149688797</c:v>
                </c:pt>
                <c:pt idx="11">
                  <c:v>2.1379620895022318</c:v>
                </c:pt>
                <c:pt idx="12">
                  <c:v>2.2908676527677727</c:v>
                </c:pt>
                <c:pt idx="13">
                  <c:v>2.4547089156850301</c:v>
                </c:pt>
                <c:pt idx="14">
                  <c:v>2.6302679918953817</c:v>
                </c:pt>
                <c:pt idx="15">
                  <c:v>2.8183829312644537</c:v>
                </c:pt>
                <c:pt idx="16">
                  <c:v>3.0199517204020156</c:v>
                </c:pt>
                <c:pt idx="17">
                  <c:v>3.2359365692962818</c:v>
                </c:pt>
                <c:pt idx="18">
                  <c:v>3.4673685045253162</c:v>
                </c:pt>
                <c:pt idx="19">
                  <c:v>3.7153522909717256</c:v>
                </c:pt>
                <c:pt idx="20">
                  <c:v>3.9810717055349727</c:v>
                </c:pt>
                <c:pt idx="21">
                  <c:v>4.2657951880159262</c:v>
                </c:pt>
                <c:pt idx="22">
                  <c:v>4.570881896148749</c:v>
                </c:pt>
                <c:pt idx="23">
                  <c:v>4.8977881936844616</c:v>
                </c:pt>
                <c:pt idx="24">
                  <c:v>5.2480746024977245</c:v>
                </c:pt>
                <c:pt idx="25">
                  <c:v>5.6234132519034903</c:v>
                </c:pt>
                <c:pt idx="26">
                  <c:v>6.0255958607435751</c:v>
                </c:pt>
                <c:pt idx="27">
                  <c:v>6.4565422903465537</c:v>
                </c:pt>
                <c:pt idx="28">
                  <c:v>6.9183097091893631</c:v>
                </c:pt>
                <c:pt idx="29">
                  <c:v>7.4131024130091765</c:v>
                </c:pt>
                <c:pt idx="30">
                  <c:v>7.943282347242814</c:v>
                </c:pt>
                <c:pt idx="31">
                  <c:v>8.5113803820237646</c:v>
                </c:pt>
                <c:pt idx="32">
                  <c:v>9.1201083935590948</c:v>
                </c:pt>
                <c:pt idx="33">
                  <c:v>9.7723722095581049</c:v>
                </c:pt>
                <c:pt idx="34">
                  <c:v>10.471285480508991</c:v>
                </c:pt>
                <c:pt idx="35">
                  <c:v>11.220184543019631</c:v>
                </c:pt>
                <c:pt idx="36">
                  <c:v>12.022644346174127</c:v>
                </c:pt>
                <c:pt idx="37">
                  <c:v>12.882495516931341</c:v>
                </c:pt>
                <c:pt idx="38">
                  <c:v>13.803842646028851</c:v>
                </c:pt>
                <c:pt idx="39">
                  <c:v>14.791083881682074</c:v>
                </c:pt>
                <c:pt idx="40">
                  <c:v>15.848931924611136</c:v>
                </c:pt>
                <c:pt idx="41">
                  <c:v>16.982436524617441</c:v>
                </c:pt>
                <c:pt idx="42">
                  <c:v>18.197008586099834</c:v>
                </c:pt>
                <c:pt idx="43">
                  <c:v>19.498445997580447</c:v>
                </c:pt>
                <c:pt idx="44">
                  <c:v>20.892961308540382</c:v>
                </c:pt>
                <c:pt idx="45">
                  <c:v>22.387211385683386</c:v>
                </c:pt>
                <c:pt idx="46">
                  <c:v>23.988329190194897</c:v>
                </c:pt>
                <c:pt idx="47">
                  <c:v>25.703957827688622</c:v>
                </c:pt>
                <c:pt idx="48">
                  <c:v>27.542287033381651</c:v>
                </c:pt>
                <c:pt idx="49">
                  <c:v>29.512092266663849</c:v>
                </c:pt>
                <c:pt idx="50">
                  <c:v>31.622776601683789</c:v>
                </c:pt>
                <c:pt idx="51">
                  <c:v>33.884415613920254</c:v>
                </c:pt>
                <c:pt idx="52">
                  <c:v>36.307805477010106</c:v>
                </c:pt>
                <c:pt idx="53">
                  <c:v>38.904514499428039</c:v>
                </c:pt>
                <c:pt idx="54">
                  <c:v>41.686938347033525</c:v>
                </c:pt>
                <c:pt idx="55">
                  <c:v>44.668359215096302</c:v>
                </c:pt>
                <c:pt idx="56">
                  <c:v>47.863009232263813</c:v>
                </c:pt>
                <c:pt idx="57">
                  <c:v>51.286138399136469</c:v>
                </c:pt>
                <c:pt idx="58">
                  <c:v>54.95408738576247</c:v>
                </c:pt>
                <c:pt idx="59">
                  <c:v>58.884365535558892</c:v>
                </c:pt>
                <c:pt idx="60">
                  <c:v>63.095734448019307</c:v>
                </c:pt>
                <c:pt idx="61">
                  <c:v>67.608297539198134</c:v>
                </c:pt>
                <c:pt idx="62">
                  <c:v>72.443596007499011</c:v>
                </c:pt>
                <c:pt idx="63">
                  <c:v>77.624711662869146</c:v>
                </c:pt>
                <c:pt idx="64">
                  <c:v>83.176377110267055</c:v>
                </c:pt>
                <c:pt idx="65">
                  <c:v>89.125093813374562</c:v>
                </c:pt>
                <c:pt idx="66">
                  <c:v>95.49925860214357</c:v>
                </c:pt>
                <c:pt idx="67">
                  <c:v>102.32929922807544</c:v>
                </c:pt>
                <c:pt idx="68">
                  <c:v>109.64781961431841</c:v>
                </c:pt>
                <c:pt idx="69">
                  <c:v>117.48975549395293</c:v>
                </c:pt>
                <c:pt idx="70">
                  <c:v>125.89254117941665</c:v>
                </c:pt>
                <c:pt idx="71">
                  <c:v>134.89628825916537</c:v>
                </c:pt>
                <c:pt idx="72">
                  <c:v>144.54397707459273</c:v>
                </c:pt>
                <c:pt idx="73">
                  <c:v>154.88166189124806</c:v>
                </c:pt>
                <c:pt idx="74">
                  <c:v>165.95869074375608</c:v>
                </c:pt>
                <c:pt idx="75">
                  <c:v>177.82794100389225</c:v>
                </c:pt>
                <c:pt idx="76">
                  <c:v>190.54607179632481</c:v>
                </c:pt>
                <c:pt idx="77">
                  <c:v>204.17379446695278</c:v>
                </c:pt>
                <c:pt idx="78">
                  <c:v>218.77616239495524</c:v>
                </c:pt>
                <c:pt idx="79">
                  <c:v>234.42288153199212</c:v>
                </c:pt>
                <c:pt idx="80">
                  <c:v>251.18864315095806</c:v>
                </c:pt>
                <c:pt idx="81">
                  <c:v>269.15348039269156</c:v>
                </c:pt>
                <c:pt idx="82">
                  <c:v>288.4031503126605</c:v>
                </c:pt>
                <c:pt idx="83">
                  <c:v>309.02954325135909</c:v>
                </c:pt>
                <c:pt idx="84">
                  <c:v>331.13112148259108</c:v>
                </c:pt>
                <c:pt idx="85">
                  <c:v>354.81338923357566</c:v>
                </c:pt>
                <c:pt idx="86">
                  <c:v>380.18939632056095</c:v>
                </c:pt>
                <c:pt idx="87">
                  <c:v>407.38027780411232</c:v>
                </c:pt>
                <c:pt idx="88">
                  <c:v>436.51583224016542</c:v>
                </c:pt>
                <c:pt idx="89">
                  <c:v>467.73514128719791</c:v>
                </c:pt>
                <c:pt idx="90">
                  <c:v>501.18723362727184</c:v>
                </c:pt>
                <c:pt idx="91">
                  <c:v>537.03179637025255</c:v>
                </c:pt>
                <c:pt idx="92">
                  <c:v>575.43993733715661</c:v>
                </c:pt>
                <c:pt idx="93">
                  <c:v>616.59500186148216</c:v>
                </c:pt>
                <c:pt idx="94">
                  <c:v>660.69344800759518</c:v>
                </c:pt>
                <c:pt idx="95">
                  <c:v>707.94578438413748</c:v>
                </c:pt>
                <c:pt idx="96">
                  <c:v>758.57757502918309</c:v>
                </c:pt>
                <c:pt idx="97">
                  <c:v>812.8305161640983</c:v>
                </c:pt>
                <c:pt idx="98">
                  <c:v>870.96358995608011</c:v>
                </c:pt>
                <c:pt idx="99">
                  <c:v>933.25430079699026</c:v>
                </c:pt>
                <c:pt idx="100">
                  <c:v>999.99999999999977</c:v>
                </c:pt>
                <c:pt idx="101">
                  <c:v>1071.5193052376057</c:v>
                </c:pt>
                <c:pt idx="102">
                  <c:v>1148.1536214968828</c:v>
                </c:pt>
                <c:pt idx="103">
                  <c:v>1230.2687708123801</c:v>
                </c:pt>
                <c:pt idx="104">
                  <c:v>1318.2567385564053</c:v>
                </c:pt>
                <c:pt idx="105">
                  <c:v>1412.5375446227531</c:v>
                </c:pt>
                <c:pt idx="106">
                  <c:v>1513.5612484362066</c:v>
                </c:pt>
                <c:pt idx="107">
                  <c:v>1621.8100973589292</c:v>
                </c:pt>
                <c:pt idx="108">
                  <c:v>1737.8008287493742</c:v>
                </c:pt>
                <c:pt idx="109">
                  <c:v>1862.0871366628671</c:v>
                </c:pt>
                <c:pt idx="110">
                  <c:v>1995.2623149688786</c:v>
                </c:pt>
                <c:pt idx="111">
                  <c:v>2137.9620895022326</c:v>
                </c:pt>
                <c:pt idx="112">
                  <c:v>2290.8676527677708</c:v>
                </c:pt>
                <c:pt idx="113">
                  <c:v>2454.708915685027</c:v>
                </c:pt>
                <c:pt idx="114">
                  <c:v>2630.26799189538</c:v>
                </c:pt>
                <c:pt idx="115">
                  <c:v>2818.3829312644511</c:v>
                </c:pt>
                <c:pt idx="116">
                  <c:v>3019.9517204020176</c:v>
                </c:pt>
                <c:pt idx="117">
                  <c:v>3235.9365692962774</c:v>
                </c:pt>
                <c:pt idx="118">
                  <c:v>3467.368504525316</c:v>
                </c:pt>
                <c:pt idx="119">
                  <c:v>3715.352290971724</c:v>
                </c:pt>
                <c:pt idx="120">
                  <c:v>3981.0717055349701</c:v>
                </c:pt>
                <c:pt idx="121">
                  <c:v>4265.7951880159226</c:v>
                </c:pt>
                <c:pt idx="122">
                  <c:v>4570.881896148745</c:v>
                </c:pt>
                <c:pt idx="123">
                  <c:v>4897.7881936844633</c:v>
                </c:pt>
                <c:pt idx="124">
                  <c:v>5248.0746024977261</c:v>
                </c:pt>
                <c:pt idx="125">
                  <c:v>5623.4132519034893</c:v>
                </c:pt>
                <c:pt idx="126">
                  <c:v>6025.5958607435741</c:v>
                </c:pt>
                <c:pt idx="127">
                  <c:v>6456.5422903465496</c:v>
                </c:pt>
                <c:pt idx="128">
                  <c:v>6918.3097091893569</c:v>
                </c:pt>
                <c:pt idx="129">
                  <c:v>7413.1024130091646</c:v>
                </c:pt>
                <c:pt idx="130">
                  <c:v>7943.2823472428154</c:v>
                </c:pt>
                <c:pt idx="131">
                  <c:v>8511.3803820237626</c:v>
                </c:pt>
                <c:pt idx="132">
                  <c:v>9120.1083935590923</c:v>
                </c:pt>
                <c:pt idx="133">
                  <c:v>9772.3722095580997</c:v>
                </c:pt>
                <c:pt idx="134">
                  <c:v>10471.285480509003</c:v>
                </c:pt>
                <c:pt idx="135">
                  <c:v>11220.184543019639</c:v>
                </c:pt>
                <c:pt idx="136">
                  <c:v>12022.644346174109</c:v>
                </c:pt>
                <c:pt idx="137">
                  <c:v>12882.495516931338</c:v>
                </c:pt>
                <c:pt idx="138">
                  <c:v>13803.842646028841</c:v>
                </c:pt>
                <c:pt idx="139">
                  <c:v>14791.083881682063</c:v>
                </c:pt>
                <c:pt idx="140">
                  <c:v>15848.931924611119</c:v>
                </c:pt>
                <c:pt idx="141">
                  <c:v>16982.436524617453</c:v>
                </c:pt>
                <c:pt idx="142">
                  <c:v>18197.008586099837</c:v>
                </c:pt>
                <c:pt idx="143">
                  <c:v>19498.445997580417</c:v>
                </c:pt>
                <c:pt idx="144">
                  <c:v>20892.961308540387</c:v>
                </c:pt>
                <c:pt idx="145">
                  <c:v>22387.211385683382</c:v>
                </c:pt>
                <c:pt idx="146">
                  <c:v>23988.32919019488</c:v>
                </c:pt>
                <c:pt idx="147">
                  <c:v>25703.957827688606</c:v>
                </c:pt>
                <c:pt idx="148">
                  <c:v>27542.287033381672</c:v>
                </c:pt>
                <c:pt idx="149">
                  <c:v>29512.092266663854</c:v>
                </c:pt>
                <c:pt idx="150">
                  <c:v>31622.776601683781</c:v>
                </c:pt>
                <c:pt idx="151">
                  <c:v>33884.415613920231</c:v>
                </c:pt>
                <c:pt idx="152">
                  <c:v>36307.805477010166</c:v>
                </c:pt>
                <c:pt idx="153">
                  <c:v>38904.514499428085</c:v>
                </c:pt>
                <c:pt idx="154">
                  <c:v>41686.93834703348</c:v>
                </c:pt>
                <c:pt idx="155">
                  <c:v>44668.359215096309</c:v>
                </c:pt>
                <c:pt idx="156">
                  <c:v>47863.009232263823</c:v>
                </c:pt>
                <c:pt idx="157">
                  <c:v>51286.138399136456</c:v>
                </c:pt>
                <c:pt idx="158">
                  <c:v>54954.08738576241</c:v>
                </c:pt>
                <c:pt idx="159">
                  <c:v>58884.365535558936</c:v>
                </c:pt>
                <c:pt idx="160">
                  <c:v>63095.734448019342</c:v>
                </c:pt>
                <c:pt idx="161">
                  <c:v>67608.297539198174</c:v>
                </c:pt>
                <c:pt idx="162">
                  <c:v>72443.596007498985</c:v>
                </c:pt>
                <c:pt idx="163">
                  <c:v>77624.711662869129</c:v>
                </c:pt>
                <c:pt idx="164">
                  <c:v>83176.377110267029</c:v>
                </c:pt>
                <c:pt idx="165">
                  <c:v>89125.093813374449</c:v>
                </c:pt>
                <c:pt idx="166">
                  <c:v>95499.258602143629</c:v>
                </c:pt>
                <c:pt idx="167">
                  <c:v>102329.29922807543</c:v>
                </c:pt>
                <c:pt idx="168">
                  <c:v>109647.81961431848</c:v>
                </c:pt>
                <c:pt idx="169">
                  <c:v>117489.75549395289</c:v>
                </c:pt>
                <c:pt idx="170">
                  <c:v>125892.54117941685</c:v>
                </c:pt>
                <c:pt idx="171">
                  <c:v>134896.28825916522</c:v>
                </c:pt>
                <c:pt idx="172">
                  <c:v>144543.97707459255</c:v>
                </c:pt>
                <c:pt idx="173">
                  <c:v>154881.66189124787</c:v>
                </c:pt>
                <c:pt idx="174">
                  <c:v>165958.69074375575</c:v>
                </c:pt>
                <c:pt idx="175">
                  <c:v>177827.94100389219</c:v>
                </c:pt>
                <c:pt idx="176">
                  <c:v>190546.07179632425</c:v>
                </c:pt>
                <c:pt idx="177">
                  <c:v>204173.79446695274</c:v>
                </c:pt>
                <c:pt idx="178">
                  <c:v>218776.16239495497</c:v>
                </c:pt>
                <c:pt idx="179">
                  <c:v>234422.88153199226</c:v>
                </c:pt>
                <c:pt idx="180">
                  <c:v>251188.64315095753</c:v>
                </c:pt>
                <c:pt idx="181">
                  <c:v>269153.48039269098</c:v>
                </c:pt>
                <c:pt idx="182">
                  <c:v>288403.15031266044</c:v>
                </c:pt>
                <c:pt idx="183">
                  <c:v>309029.54325135821</c:v>
                </c:pt>
                <c:pt idx="184">
                  <c:v>331131.12148259068</c:v>
                </c:pt>
                <c:pt idx="185">
                  <c:v>354813.38923357491</c:v>
                </c:pt>
                <c:pt idx="186">
                  <c:v>380189.39632056118</c:v>
                </c:pt>
                <c:pt idx="187">
                  <c:v>407380.27780411189</c:v>
                </c:pt>
                <c:pt idx="188">
                  <c:v>436515.83224016492</c:v>
                </c:pt>
                <c:pt idx="189">
                  <c:v>467735.14128719777</c:v>
                </c:pt>
                <c:pt idx="190">
                  <c:v>501187.23362727172</c:v>
                </c:pt>
                <c:pt idx="191">
                  <c:v>537031.79637025192</c:v>
                </c:pt>
                <c:pt idx="192">
                  <c:v>575439.93733715592</c:v>
                </c:pt>
                <c:pt idx="193">
                  <c:v>616595.00186148204</c:v>
                </c:pt>
                <c:pt idx="194">
                  <c:v>660693.44800759444</c:v>
                </c:pt>
                <c:pt idx="195">
                  <c:v>707945.78438413737</c:v>
                </c:pt>
                <c:pt idx="196">
                  <c:v>758577.57502918295</c:v>
                </c:pt>
                <c:pt idx="197">
                  <c:v>812830.51616409956</c:v>
                </c:pt>
                <c:pt idx="198">
                  <c:v>870963.58995607914</c:v>
                </c:pt>
                <c:pt idx="199">
                  <c:v>933254.30079698924</c:v>
                </c:pt>
              </c:numCache>
            </c:numRef>
          </c:xVal>
          <c:yVal>
            <c:numRef>
              <c:f>'9. Loop Compensation'!$AI$2:$AI$201</c:f>
              <c:numCache>
                <c:formatCode>General</c:formatCode>
                <c:ptCount val="200"/>
                <c:pt idx="0">
                  <c:v>-0.52084872075488997</c:v>
                </c:pt>
                <c:pt idx="1">
                  <c:v>-0.55809715804774973</c:v>
                </c:pt>
                <c:pt idx="2">
                  <c:v>-0.5980090478130623</c:v>
                </c:pt>
                <c:pt idx="3">
                  <c:v>-0.64077475632402936</c:v>
                </c:pt>
                <c:pt idx="4">
                  <c:v>-0.68659823663297648</c:v>
                </c:pt>
                <c:pt idx="5">
                  <c:v>-0.73569799382451118</c:v>
                </c:pt>
                <c:pt idx="6">
                  <c:v>-0.78830811781585908</c:v>
                </c:pt>
                <c:pt idx="7">
                  <c:v>-0.84467938819329014</c:v>
                </c:pt>
                <c:pt idx="8">
                  <c:v>-0.90508045581627206</c:v>
                </c:pt>
                <c:pt idx="9">
                  <c:v>-0.96979910616286713</c:v>
                </c:pt>
                <c:pt idx="10">
                  <c:v>-1.0391436096267965</c:v>
                </c:pt>
                <c:pt idx="11">
                  <c:v>-1.1134441642039308</c:v>
                </c:pt>
                <c:pt idx="12">
                  <c:v>-1.1930544362154196</c:v>
                </c:pt>
                <c:pt idx="13">
                  <c:v>-1.2783532048990245</c:v>
                </c:pt>
                <c:pt idx="14">
                  <c:v>-1.3697461168472231</c:v>
                </c:pt>
                <c:pt idx="15">
                  <c:v>-1.4676675563666493</c:v>
                </c:pt>
                <c:pt idx="16">
                  <c:v>-1.5725826378613732</c:v>
                </c:pt>
                <c:pt idx="17">
                  <c:v>-1.6849893262799454</c:v>
                </c:pt>
                <c:pt idx="18">
                  <c:v>-1.8054206914862616</c:v>
                </c:pt>
                <c:pt idx="19">
                  <c:v>-1.9344473020834347</c:v>
                </c:pt>
                <c:pt idx="20">
                  <c:v>-2.0726797636971646</c:v>
                </c:pt>
                <c:pt idx="21">
                  <c:v>-2.2207714059583856</c:v>
                </c:pt>
                <c:pt idx="22">
                  <c:v>-2.3794211213533476</c:v>
                </c:pt>
                <c:pt idx="23">
                  <c:v>-2.54937635765467</c:v>
                </c:pt>
                <c:pt idx="24">
                  <c:v>-2.7314362637181961</c:v>
                </c:pt>
                <c:pt idx="25">
                  <c:v>-2.9264549859122195</c:v>
                </c:pt>
                <c:pt idx="26">
                  <c:v>-3.1353451092036178</c:v>
                </c:pt>
                <c:pt idx="27">
                  <c:v>-3.3590812327927759</c:v>
                </c:pt>
                <c:pt idx="28">
                  <c:v>-3.5987036649702637</c:v>
                </c:pt>
                <c:pt idx="29">
                  <c:v>-3.8553222153261175</c:v>
                </c:pt>
                <c:pt idx="30">
                  <c:v>-4.1301200543004786</c:v>
                </c:pt>
                <c:pt idx="31">
                  <c:v>-4.4243575999935869</c:v>
                </c:pt>
                <c:pt idx="32">
                  <c:v>-4.7393763797736987</c:v>
                </c:pt>
                <c:pt idx="33">
                  <c:v>-5.0766027990957614</c:v>
                </c:pt>
                <c:pt idx="34">
                  <c:v>-5.4375517315739312</c:v>
                </c:pt>
                <c:pt idx="35">
                  <c:v>-5.8238298221885199</c:v>
                </c:pt>
                <c:pt idx="36">
                  <c:v>-6.237138368949406</c:v>
                </c:pt>
                <c:pt idx="37">
                  <c:v>-6.6792756167635314</c:v>
                </c:pt>
                <c:pt idx="38">
                  <c:v>-7.1521382600338246</c:v>
                </c:pt>
                <c:pt idx="39">
                  <c:v>-7.6577219070947091</c:v>
                </c:pt>
                <c:pt idx="40">
                  <c:v>-8.1981202095265253</c:v>
                </c:pt>
                <c:pt idx="41">
                  <c:v>-8.7755223025101365</c:v>
                </c:pt>
                <c:pt idx="42">
                  <c:v>-9.3922081389148904</c:v>
                </c:pt>
                <c:pt idx="43">
                  <c:v>-10.050541230609824</c:v>
                </c:pt>
                <c:pt idx="44">
                  <c:v>-10.7529582373233</c:v>
                </c:pt>
                <c:pt idx="45">
                  <c:v>-11.501954769301381</c:v>
                </c:pt>
                <c:pt idx="46">
                  <c:v>-12.300066699796073</c:v>
                </c:pt>
                <c:pt idx="47">
                  <c:v>-13.149846224044499</c:v>
                </c:pt>
                <c:pt idx="48">
                  <c:v>-14.053831862647701</c:v>
                </c:pt>
                <c:pt idx="49">
                  <c:v>-15.014511602125312</c:v>
                </c:pt>
                <c:pt idx="50">
                  <c:v>-16.034278410534306</c:v>
                </c:pt>
                <c:pt idx="51">
                  <c:v>-17.115377481587977</c:v>
                </c:pt>
                <c:pt idx="52">
                  <c:v>-18.259844769840232</c:v>
                </c:pt>
                <c:pt idx="53">
                  <c:v>-19.469436706782208</c:v>
                </c:pt>
                <c:pt idx="54">
                  <c:v>-20.745551456220841</c:v>
                </c:pt>
                <c:pt idx="55">
                  <c:v>-22.089142694205503</c:v>
                </c:pt>
                <c:pt idx="56">
                  <c:v>-23.500627688918588</c:v>
                </c:pt>
                <c:pt idx="57">
                  <c:v>-24.979792394083507</c:v>
                </c:pt>
                <c:pt idx="58">
                  <c:v>-26.525697311598321</c:v>
                </c:pt>
                <c:pt idx="59">
                  <c:v>-28.13658894496217</c:v>
                </c:pt>
                <c:pt idx="60">
                  <c:v>-29.809822634034877</c:v>
                </c:pt>
                <c:pt idx="61">
                  <c:v>-31.541803275931382</c:v>
                </c:pt>
                <c:pt idx="62">
                  <c:v>-33.32795071484118</c:v>
                </c:pt>
                <c:pt idx="63">
                  <c:v>-35.162696245893535</c:v>
                </c:pt>
                <c:pt idx="64">
                  <c:v>-37.039515585193534</c:v>
                </c:pt>
                <c:pt idx="65">
                  <c:v>-38.951001753587789</c:v>
                </c:pt>
                <c:pt idx="66">
                  <c:v>-40.888978672474444</c:v>
                </c:pt>
                <c:pt idx="67">
                  <c:v>-42.844653088244321</c:v>
                </c:pt>
                <c:pt idx="68">
                  <c:v>-44.808799077155918</c:v>
                </c:pt>
                <c:pt idx="69">
                  <c:v>-46.77196627620615</c:v>
                </c:pt>
                <c:pt idx="70">
                  <c:v>-48.724700593961671</c:v>
                </c:pt>
                <c:pt idx="71">
                  <c:v>-50.657764855262407</c:v>
                </c:pt>
                <c:pt idx="72">
                  <c:v>-52.562346838319328</c:v>
                </c:pt>
                <c:pt idx="73">
                  <c:v>-54.430243471220081</c:v>
                </c:pt>
                <c:pt idx="74">
                  <c:v>-56.254012352726917</c:v>
                </c:pt>
                <c:pt idx="75">
                  <c:v>-58.027084871750162</c:v>
                </c:pt>
                <c:pt idx="76">
                  <c:v>-59.74383856464852</c:v>
                </c:pt>
                <c:pt idx="77">
                  <c:v>-61.399629528387059</c:v>
                </c:pt>
                <c:pt idx="78">
                  <c:v>-62.99078835197578</c:v>
                </c:pt>
                <c:pt idx="79">
                  <c:v>-64.514584927371757</c:v>
                </c:pt>
                <c:pt idx="80">
                  <c:v>-65.969168588198769</c:v>
                </c:pt>
                <c:pt idx="81">
                  <c:v>-67.353490357257343</c:v>
                </c:pt>
                <c:pt idx="82">
                  <c:v>-68.667213801900687</c:v>
                </c:pt>
                <c:pt idx="83">
                  <c:v>-69.91062027950538</c:v>
                </c:pt>
                <c:pt idx="84">
                  <c:v>-71.084513384916463</c:v>
                </c:pt>
                <c:pt idx="85">
                  <c:v>-72.190126345511857</c:v>
                </c:pt>
                <c:pt idx="86">
                  <c:v>-73.229035067708551</c:v>
                </c:pt>
                <c:pt idx="87">
                  <c:v>-74.203078601366158</c:v>
                </c:pt>
                <c:pt idx="88">
                  <c:v>-75.114287999408418</c:v>
                </c:pt>
                <c:pt idx="89">
                  <c:v>-75.964823924124616</c:v>
                </c:pt>
                <c:pt idx="90">
                  <c:v>-76.756922884110224</c:v>
                </c:pt>
                <c:pt idx="91">
                  <c:v>-77.492851659440504</c:v>
                </c:pt>
                <c:pt idx="92">
                  <c:v>-78.17486926434934</c:v>
                </c:pt>
                <c:pt idx="93">
                  <c:v>-78.805195681871908</c:v>
                </c:pt>
                <c:pt idx="94">
                  <c:v>-79.385986560489854</c:v>
                </c:pt>
                <c:pt idx="95">
                  <c:v>-79.919313068647526</c:v>
                </c:pt>
                <c:pt idx="96">
                  <c:v>-80.407146142535311</c:v>
                </c:pt>
                <c:pt idx="97">
                  <c:v>-80.851344422830735</c:v>
                </c:pt>
                <c:pt idx="98">
                  <c:v>-81.253645247431464</c:v>
                </c:pt>
                <c:pt idx="99">
                  <c:v>-81.615658142741268</c:v>
                </c:pt>
                <c:pt idx="100">
                  <c:v>-81.938860331062031</c:v>
                </c:pt>
                <c:pt idx="101">
                  <c:v>-82.224593843197027</c:v>
                </c:pt>
                <c:pt idx="102">
                  <c:v>-82.474063891815319</c:v>
                </c:pt>
                <c:pt idx="103">
                  <c:v>-82.688338221776149</c:v>
                </c:pt>
                <c:pt idx="104">
                  <c:v>-82.868347208391299</c:v>
                </c:pt>
                <c:pt idx="105">
                  <c:v>-83.014884523932608</c:v>
                </c:pt>
                <c:pt idx="106">
                  <c:v>-83.128608237219169</c:v>
                </c:pt>
                <c:pt idx="107">
                  <c:v>-83.210042251724715</c:v>
                </c:pt>
                <c:pt idx="108">
                  <c:v>-83.259578025280277</c:v>
                </c:pt>
                <c:pt idx="109">
                  <c:v>-83.277476550136086</c:v>
                </c:pt>
                <c:pt idx="110">
                  <c:v>-83.263870606936621</c:v>
                </c:pt>
                <c:pt idx="111">
                  <c:v>-83.218767341119545</c:v>
                </c:pt>
                <c:pt idx="112">
                  <c:v>-83.142051246422326</c:v>
                </c:pt>
                <c:pt idx="113">
                  <c:v>-83.033487678616495</c:v>
                </c:pt>
                <c:pt idx="114">
                  <c:v>-82.892727064284728</c:v>
                </c:pt>
                <c:pt idx="115">
                  <c:v>-82.719310015341875</c:v>
                </c:pt>
                <c:pt idx="116">
                  <c:v>-82.51267361087595</c:v>
                </c:pt>
                <c:pt idx="117">
                  <c:v>-82.272159164341588</c:v>
                </c:pt>
                <c:pt idx="118">
                  <c:v>-81.997021856437442</c:v>
                </c:pt>
                <c:pt idx="119">
                  <c:v>-81.686442681890938</c:v>
                </c:pt>
                <c:pt idx="120">
                  <c:v>-81.33954323088679</c:v>
                </c:pt>
                <c:pt idx="121">
                  <c:v>-80.955403900980343</c:v>
                </c:pt>
                <c:pt idx="122">
                  <c:v>-80.533086209596775</c:v>
                </c:pt>
                <c:pt idx="123">
                  <c:v>-80.071659945289539</c:v>
                </c:pt>
                <c:pt idx="124">
                  <c:v>-79.570235950091856</c:v>
                </c:pt>
                <c:pt idx="125">
                  <c:v>-79.028005354855196</c:v>
                </c:pt>
                <c:pt idx="126">
                  <c:v>-78.444286080343289</c:v>
                </c:pt>
                <c:pt idx="127">
                  <c:v>-77.818577351283977</c:v>
                </c:pt>
                <c:pt idx="128">
                  <c:v>-77.150622827289467</c:v>
                </c:pt>
                <c:pt idx="129">
                  <c:v>-76.440482709577068</c:v>
                </c:pt>
                <c:pt idx="130">
                  <c:v>-75.688614810999084</c:v>
                </c:pt>
                <c:pt idx="131">
                  <c:v>-74.895964056747019</c:v>
                </c:pt>
                <c:pt idx="132">
                  <c:v>-74.064059199437409</c:v>
                </c:pt>
                <c:pt idx="133">
                  <c:v>-73.195114684579238</c:v>
                </c:pt>
                <c:pt idx="134">
                  <c:v>-72.292134612547898</c:v>
                </c:pt>
                <c:pt idx="135">
                  <c:v>-71.359014664007987</c:v>
                </c:pt>
                <c:pt idx="136">
                  <c:v>-70.400636777904566</c:v>
                </c:pt>
                <c:pt idx="137">
                  <c:v>-69.422950425546006</c:v>
                </c:pt>
                <c:pt idx="138">
                  <c:v>-68.433033676287749</c:v>
                </c:pt>
                <c:pt idx="139">
                  <c:v>-67.439127082915647</c:v>
                </c:pt>
                <c:pt idx="140">
                  <c:v>-66.45063389926743</c:v>
                </c:pt>
                <c:pt idx="141">
                  <c:v>-65.478081398410239</c:v>
                </c:pt>
                <c:pt idx="142">
                  <c:v>-64.533040110809836</c:v>
                </c:pt>
                <c:pt idx="143">
                  <c:v>-63.628000540783162</c:v>
                </c:pt>
                <c:pt idx="144">
                  <c:v>-62.776210092244547</c:v>
                </c:pt>
                <c:pt idx="145">
                  <c:v>-61.991476159615978</c:v>
                </c:pt>
                <c:pt idx="146">
                  <c:v>-61.287944162725587</c:v>
                </c:pt>
                <c:pt idx="147">
                  <c:v>-60.679861283888719</c:v>
                </c:pt>
                <c:pt idx="148">
                  <c:v>-60.181337466433583</c:v>
                </c:pt>
                <c:pt idx="149">
                  <c:v>-59.806114706729012</c:v>
                </c:pt>
                <c:pt idx="150">
                  <c:v>-59.567353889121136</c:v>
                </c:pt>
                <c:pt idx="151">
                  <c:v>-59.477445656589971</c:v>
                </c:pt>
                <c:pt idx="152">
                  <c:v>-59.547848508399497</c:v>
                </c:pt>
                <c:pt idx="153">
                  <c:v>-59.788953957130637</c:v>
                </c:pt>
                <c:pt idx="154">
                  <c:v>-60.209975616498767</c:v>
                </c:pt>
                <c:pt idx="155">
                  <c:v>-60.818856881661169</c:v>
                </c:pt>
                <c:pt idx="156">
                  <c:v>-61.622190621173438</c:v>
                </c:pt>
                <c:pt idx="157">
                  <c:v>-62.625144101080387</c:v>
                </c:pt>
                <c:pt idx="158">
                  <c:v>-63.83138316716952</c:v>
                </c:pt>
                <c:pt idx="159">
                  <c:v>-65.242991398201085</c:v>
                </c:pt>
                <c:pt idx="160">
                  <c:v>-66.860382334737835</c:v>
                </c:pt>
                <c:pt idx="161">
                  <c:v>-68.682205774498712</c:v>
                </c:pt>
                <c:pt idx="162">
                  <c:v>-70.705252266544562</c:v>
                </c:pt>
                <c:pt idx="163">
                  <c:v>-72.924363060451711</c:v>
                </c:pt>
                <c:pt idx="164">
                  <c:v>-75.332355560844519</c:v>
                </c:pt>
                <c:pt idx="165">
                  <c:v>-77.919976452756814</c:v>
                </c:pt>
                <c:pt idx="166">
                  <c:v>-80.675895732226408</c:v>
                </c:pt>
                <c:pt idx="167">
                  <c:v>-83.586754558686152</c:v>
                </c:pt>
                <c:pt idx="168">
                  <c:v>-86.637277893839538</c:v>
                </c:pt>
                <c:pt idx="169">
                  <c:v>-89.81045923151737</c:v>
                </c:pt>
                <c:pt idx="170">
                  <c:v>-93.087819525140929</c:v>
                </c:pt>
                <c:pt idx="171">
                  <c:v>-96.449736137248706</c:v>
                </c:pt>
                <c:pt idx="172">
                  <c:v>-99.875830984384962</c:v>
                </c:pt>
                <c:pt idx="173">
                  <c:v>-103.34540091606677</c:v>
                </c:pt>
                <c:pt idx="174">
                  <c:v>-106.83786865121215</c:v>
                </c:pt>
                <c:pt idx="175">
                  <c:v>-110.33323003719043</c:v>
                </c:pt>
                <c:pt idx="176">
                  <c:v>-113.81247340657225</c:v>
                </c:pt>
                <c:pt idx="177">
                  <c:v>-117.25794937508296</c:v>
                </c:pt>
                <c:pt idx="178">
                  <c:v>-120.6536741246435</c:v>
                </c:pt>
                <c:pt idx="179">
                  <c:v>-123.98555530450673</c:v>
                </c:pt>
                <c:pt idx="180">
                  <c:v>-127.24153626736165</c:v>
                </c:pt>
                <c:pt idx="181">
                  <c:v>-130.41166057287992</c:v>
                </c:pt>
                <c:pt idx="182">
                  <c:v>-133.48806385709486</c:v>
                </c:pt>
                <c:pt idx="183">
                  <c:v>-136.464903868965</c:v>
                </c:pt>
                <c:pt idx="184">
                  <c:v>-139.33824158589482</c:v>
                </c:pt>
                <c:pt idx="185">
                  <c:v>-142.10588694854161</c:v>
                </c:pt>
                <c:pt idx="186">
                  <c:v>-144.76722217566294</c:v>
                </c:pt>
                <c:pt idx="187">
                  <c:v>-147.32301418368658</c:v>
                </c:pt>
                <c:pt idx="188">
                  <c:v>-149.77522569930193</c:v>
                </c:pt>
                <c:pt idx="189">
                  <c:v>-152.12683252666164</c:v>
                </c:pt>
                <c:pt idx="190">
                  <c:v>-154.38165235088857</c:v>
                </c:pt>
                <c:pt idx="191">
                  <c:v>-156.5441885845789</c:v>
                </c:pt>
                <c:pt idx="192">
                  <c:v>-158.61949118046573</c:v>
                </c:pt>
                <c:pt idx="193">
                  <c:v>-160.61303507128471</c:v>
                </c:pt>
                <c:pt idx="194">
                  <c:v>-162.53061594721518</c:v>
                </c:pt>
                <c:pt idx="195">
                  <c:v>-164.37826240775973</c:v>
                </c:pt>
                <c:pt idx="196">
                  <c:v>-166.16216308230594</c:v>
                </c:pt>
                <c:pt idx="197">
                  <c:v>-167.88860705264031</c:v>
                </c:pt>
                <c:pt idx="198">
                  <c:v>-169.56393578476485</c:v>
                </c:pt>
                <c:pt idx="199">
                  <c:v>-171.19450474580231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B5-4055-B765-050E9433F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5544"/>
        <c:axId val="173767112"/>
      </c:scatterChart>
      <c:valAx>
        <c:axId val="173765544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767112"/>
        <c:crosses val="autoZero"/>
        <c:crossBetween val="midCat"/>
      </c:valAx>
      <c:valAx>
        <c:axId val="173767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7655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|Vout</a:t>
            </a:r>
            <a:r>
              <a:rPr lang="en-US" baseline="0"/>
              <a:t> / Verr|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'9. Loop Compensation'!$AJ$1</c:f>
              <c:strCache>
                <c:ptCount val="1"/>
                <c:pt idx="0">
                  <c:v>db</c:v>
                </c:pt>
              </c:strCache>
            </c:strRef>
          </c:tx>
          <c:marker>
            <c:symbol val="none"/>
          </c:marker>
          <c:xVal>
            <c:numRef>
              <c:f>'9. Loop Compensation'!$Z$2:$Z$200</c:f>
              <c:numCache>
                <c:formatCode>General</c:formatCode>
                <c:ptCount val="199"/>
                <c:pt idx="0">
                  <c:v>1</c:v>
                </c:pt>
                <c:pt idx="1">
                  <c:v>1.0715193052376064</c:v>
                </c:pt>
                <c:pt idx="2">
                  <c:v>1.1481536214968828</c:v>
                </c:pt>
                <c:pt idx="3">
                  <c:v>1.2302687708123814</c:v>
                </c:pt>
                <c:pt idx="4">
                  <c:v>1.318256738556407</c:v>
                </c:pt>
                <c:pt idx="5">
                  <c:v>1.4125375446227544</c:v>
                </c:pt>
                <c:pt idx="6">
                  <c:v>1.513561248436208</c:v>
                </c:pt>
                <c:pt idx="7">
                  <c:v>1.6218100973589298</c:v>
                </c:pt>
                <c:pt idx="8">
                  <c:v>1.7378008287493754</c:v>
                </c:pt>
                <c:pt idx="9">
                  <c:v>1.8620871366628673</c:v>
                </c:pt>
                <c:pt idx="10">
                  <c:v>1.9952623149688797</c:v>
                </c:pt>
                <c:pt idx="11">
                  <c:v>2.1379620895022318</c:v>
                </c:pt>
                <c:pt idx="12">
                  <c:v>2.2908676527677727</c:v>
                </c:pt>
                <c:pt idx="13">
                  <c:v>2.4547089156850301</c:v>
                </c:pt>
                <c:pt idx="14">
                  <c:v>2.6302679918953817</c:v>
                </c:pt>
                <c:pt idx="15">
                  <c:v>2.8183829312644537</c:v>
                </c:pt>
                <c:pt idx="16">
                  <c:v>3.0199517204020156</c:v>
                </c:pt>
                <c:pt idx="17">
                  <c:v>3.2359365692962818</c:v>
                </c:pt>
                <c:pt idx="18">
                  <c:v>3.4673685045253162</c:v>
                </c:pt>
                <c:pt idx="19">
                  <c:v>3.7153522909717256</c:v>
                </c:pt>
                <c:pt idx="20">
                  <c:v>3.9810717055349727</c:v>
                </c:pt>
                <c:pt idx="21">
                  <c:v>4.2657951880159262</c:v>
                </c:pt>
                <c:pt idx="22">
                  <c:v>4.570881896148749</c:v>
                </c:pt>
                <c:pt idx="23">
                  <c:v>4.8977881936844616</c:v>
                </c:pt>
                <c:pt idx="24">
                  <c:v>5.2480746024977245</c:v>
                </c:pt>
                <c:pt idx="25">
                  <c:v>5.6234132519034903</c:v>
                </c:pt>
                <c:pt idx="26">
                  <c:v>6.0255958607435751</c:v>
                </c:pt>
                <c:pt idx="27">
                  <c:v>6.4565422903465537</c:v>
                </c:pt>
                <c:pt idx="28">
                  <c:v>6.9183097091893631</c:v>
                </c:pt>
                <c:pt idx="29">
                  <c:v>7.4131024130091765</c:v>
                </c:pt>
                <c:pt idx="30">
                  <c:v>7.943282347242814</c:v>
                </c:pt>
                <c:pt idx="31">
                  <c:v>8.5113803820237646</c:v>
                </c:pt>
                <c:pt idx="32">
                  <c:v>9.1201083935590948</c:v>
                </c:pt>
                <c:pt idx="33">
                  <c:v>9.7723722095581049</c:v>
                </c:pt>
                <c:pt idx="34">
                  <c:v>10.471285480508991</c:v>
                </c:pt>
                <c:pt idx="35">
                  <c:v>11.220184543019631</c:v>
                </c:pt>
                <c:pt idx="36">
                  <c:v>12.022644346174127</c:v>
                </c:pt>
                <c:pt idx="37">
                  <c:v>12.882495516931341</c:v>
                </c:pt>
                <c:pt idx="38">
                  <c:v>13.803842646028851</c:v>
                </c:pt>
                <c:pt idx="39">
                  <c:v>14.791083881682074</c:v>
                </c:pt>
                <c:pt idx="40">
                  <c:v>15.848931924611136</c:v>
                </c:pt>
                <c:pt idx="41">
                  <c:v>16.982436524617441</c:v>
                </c:pt>
                <c:pt idx="42">
                  <c:v>18.197008586099834</c:v>
                </c:pt>
                <c:pt idx="43">
                  <c:v>19.498445997580447</c:v>
                </c:pt>
                <c:pt idx="44">
                  <c:v>20.892961308540382</c:v>
                </c:pt>
                <c:pt idx="45">
                  <c:v>22.387211385683386</c:v>
                </c:pt>
                <c:pt idx="46">
                  <c:v>23.988329190194897</c:v>
                </c:pt>
                <c:pt idx="47">
                  <c:v>25.703957827688622</c:v>
                </c:pt>
                <c:pt idx="48">
                  <c:v>27.542287033381651</c:v>
                </c:pt>
                <c:pt idx="49">
                  <c:v>29.512092266663849</c:v>
                </c:pt>
                <c:pt idx="50">
                  <c:v>31.622776601683789</c:v>
                </c:pt>
                <c:pt idx="51">
                  <c:v>33.884415613920254</c:v>
                </c:pt>
                <c:pt idx="52">
                  <c:v>36.307805477010106</c:v>
                </c:pt>
                <c:pt idx="53">
                  <c:v>38.904514499428039</c:v>
                </c:pt>
                <c:pt idx="54">
                  <c:v>41.686938347033525</c:v>
                </c:pt>
                <c:pt idx="55">
                  <c:v>44.668359215096302</c:v>
                </c:pt>
                <c:pt idx="56">
                  <c:v>47.863009232263813</c:v>
                </c:pt>
                <c:pt idx="57">
                  <c:v>51.286138399136469</c:v>
                </c:pt>
                <c:pt idx="58">
                  <c:v>54.95408738576247</c:v>
                </c:pt>
                <c:pt idx="59">
                  <c:v>58.884365535558892</c:v>
                </c:pt>
                <c:pt idx="60">
                  <c:v>63.095734448019307</c:v>
                </c:pt>
                <c:pt idx="61">
                  <c:v>67.608297539198134</c:v>
                </c:pt>
                <c:pt idx="62">
                  <c:v>72.443596007499011</c:v>
                </c:pt>
                <c:pt idx="63">
                  <c:v>77.624711662869146</c:v>
                </c:pt>
                <c:pt idx="64">
                  <c:v>83.176377110267055</c:v>
                </c:pt>
                <c:pt idx="65">
                  <c:v>89.125093813374562</c:v>
                </c:pt>
                <c:pt idx="66">
                  <c:v>95.49925860214357</c:v>
                </c:pt>
                <c:pt idx="67">
                  <c:v>102.32929922807544</c:v>
                </c:pt>
                <c:pt idx="68">
                  <c:v>109.64781961431841</c:v>
                </c:pt>
                <c:pt idx="69">
                  <c:v>117.48975549395293</c:v>
                </c:pt>
                <c:pt idx="70">
                  <c:v>125.89254117941665</c:v>
                </c:pt>
                <c:pt idx="71">
                  <c:v>134.89628825916537</c:v>
                </c:pt>
                <c:pt idx="72">
                  <c:v>144.54397707459273</c:v>
                </c:pt>
                <c:pt idx="73">
                  <c:v>154.88166189124806</c:v>
                </c:pt>
                <c:pt idx="74">
                  <c:v>165.95869074375608</c:v>
                </c:pt>
                <c:pt idx="75">
                  <c:v>177.82794100389225</c:v>
                </c:pt>
                <c:pt idx="76">
                  <c:v>190.54607179632481</c:v>
                </c:pt>
                <c:pt idx="77">
                  <c:v>204.17379446695278</c:v>
                </c:pt>
                <c:pt idx="78">
                  <c:v>218.77616239495524</c:v>
                </c:pt>
                <c:pt idx="79">
                  <c:v>234.42288153199212</c:v>
                </c:pt>
                <c:pt idx="80">
                  <c:v>251.18864315095806</c:v>
                </c:pt>
                <c:pt idx="81">
                  <c:v>269.15348039269156</c:v>
                </c:pt>
                <c:pt idx="82">
                  <c:v>288.4031503126605</c:v>
                </c:pt>
                <c:pt idx="83">
                  <c:v>309.02954325135909</c:v>
                </c:pt>
                <c:pt idx="84">
                  <c:v>331.13112148259108</c:v>
                </c:pt>
                <c:pt idx="85">
                  <c:v>354.81338923357566</c:v>
                </c:pt>
                <c:pt idx="86">
                  <c:v>380.18939632056095</c:v>
                </c:pt>
                <c:pt idx="87">
                  <c:v>407.38027780411232</c:v>
                </c:pt>
                <c:pt idx="88">
                  <c:v>436.51583224016542</c:v>
                </c:pt>
                <c:pt idx="89">
                  <c:v>467.73514128719791</c:v>
                </c:pt>
                <c:pt idx="90">
                  <c:v>501.18723362727184</c:v>
                </c:pt>
                <c:pt idx="91">
                  <c:v>537.03179637025255</c:v>
                </c:pt>
                <c:pt idx="92">
                  <c:v>575.43993733715661</c:v>
                </c:pt>
                <c:pt idx="93">
                  <c:v>616.59500186148216</c:v>
                </c:pt>
                <c:pt idx="94">
                  <c:v>660.69344800759518</c:v>
                </c:pt>
                <c:pt idx="95">
                  <c:v>707.94578438413748</c:v>
                </c:pt>
                <c:pt idx="96">
                  <c:v>758.57757502918309</c:v>
                </c:pt>
                <c:pt idx="97">
                  <c:v>812.8305161640983</c:v>
                </c:pt>
                <c:pt idx="98">
                  <c:v>870.96358995608011</c:v>
                </c:pt>
                <c:pt idx="99">
                  <c:v>933.25430079699026</c:v>
                </c:pt>
                <c:pt idx="100">
                  <c:v>999.99999999999977</c:v>
                </c:pt>
                <c:pt idx="101">
                  <c:v>1071.5193052376057</c:v>
                </c:pt>
                <c:pt idx="102">
                  <c:v>1148.1536214968828</c:v>
                </c:pt>
                <c:pt idx="103">
                  <c:v>1230.2687708123801</c:v>
                </c:pt>
                <c:pt idx="104">
                  <c:v>1318.2567385564053</c:v>
                </c:pt>
                <c:pt idx="105">
                  <c:v>1412.5375446227531</c:v>
                </c:pt>
                <c:pt idx="106">
                  <c:v>1513.5612484362066</c:v>
                </c:pt>
                <c:pt idx="107">
                  <c:v>1621.8100973589292</c:v>
                </c:pt>
                <c:pt idx="108">
                  <c:v>1737.8008287493742</c:v>
                </c:pt>
                <c:pt idx="109">
                  <c:v>1862.0871366628671</c:v>
                </c:pt>
                <c:pt idx="110">
                  <c:v>1995.2623149688786</c:v>
                </c:pt>
                <c:pt idx="111">
                  <c:v>2137.9620895022326</c:v>
                </c:pt>
                <c:pt idx="112">
                  <c:v>2290.8676527677708</c:v>
                </c:pt>
                <c:pt idx="113">
                  <c:v>2454.708915685027</c:v>
                </c:pt>
                <c:pt idx="114">
                  <c:v>2630.26799189538</c:v>
                </c:pt>
                <c:pt idx="115">
                  <c:v>2818.3829312644511</c:v>
                </c:pt>
                <c:pt idx="116">
                  <c:v>3019.9517204020176</c:v>
                </c:pt>
                <c:pt idx="117">
                  <c:v>3235.9365692962774</c:v>
                </c:pt>
                <c:pt idx="118">
                  <c:v>3467.368504525316</c:v>
                </c:pt>
                <c:pt idx="119">
                  <c:v>3715.352290971724</c:v>
                </c:pt>
                <c:pt idx="120">
                  <c:v>3981.0717055349701</c:v>
                </c:pt>
                <c:pt idx="121">
                  <c:v>4265.7951880159226</c:v>
                </c:pt>
                <c:pt idx="122">
                  <c:v>4570.881896148745</c:v>
                </c:pt>
                <c:pt idx="123">
                  <c:v>4897.7881936844633</c:v>
                </c:pt>
                <c:pt idx="124">
                  <c:v>5248.0746024977261</c:v>
                </c:pt>
                <c:pt idx="125">
                  <c:v>5623.4132519034893</c:v>
                </c:pt>
                <c:pt idx="126">
                  <c:v>6025.5958607435741</c:v>
                </c:pt>
                <c:pt idx="127">
                  <c:v>6456.5422903465496</c:v>
                </c:pt>
                <c:pt idx="128">
                  <c:v>6918.3097091893569</c:v>
                </c:pt>
                <c:pt idx="129">
                  <c:v>7413.1024130091646</c:v>
                </c:pt>
                <c:pt idx="130">
                  <c:v>7943.2823472428154</c:v>
                </c:pt>
                <c:pt idx="131">
                  <c:v>8511.3803820237626</c:v>
                </c:pt>
                <c:pt idx="132">
                  <c:v>9120.1083935590923</c:v>
                </c:pt>
                <c:pt idx="133">
                  <c:v>9772.3722095580997</c:v>
                </c:pt>
                <c:pt idx="134">
                  <c:v>10471.285480509003</c:v>
                </c:pt>
                <c:pt idx="135">
                  <c:v>11220.184543019639</c:v>
                </c:pt>
                <c:pt idx="136">
                  <c:v>12022.644346174109</c:v>
                </c:pt>
                <c:pt idx="137">
                  <c:v>12882.495516931338</c:v>
                </c:pt>
                <c:pt idx="138">
                  <c:v>13803.842646028841</c:v>
                </c:pt>
                <c:pt idx="139">
                  <c:v>14791.083881682063</c:v>
                </c:pt>
                <c:pt idx="140">
                  <c:v>15848.931924611119</c:v>
                </c:pt>
                <c:pt idx="141">
                  <c:v>16982.436524617453</c:v>
                </c:pt>
                <c:pt idx="142">
                  <c:v>18197.008586099837</c:v>
                </c:pt>
                <c:pt idx="143">
                  <c:v>19498.445997580417</c:v>
                </c:pt>
                <c:pt idx="144">
                  <c:v>20892.961308540387</c:v>
                </c:pt>
                <c:pt idx="145">
                  <c:v>22387.211385683382</c:v>
                </c:pt>
                <c:pt idx="146">
                  <c:v>23988.32919019488</c:v>
                </c:pt>
                <c:pt idx="147">
                  <c:v>25703.957827688606</c:v>
                </c:pt>
                <c:pt idx="148">
                  <c:v>27542.287033381672</c:v>
                </c:pt>
                <c:pt idx="149">
                  <c:v>29512.092266663854</c:v>
                </c:pt>
                <c:pt idx="150">
                  <c:v>31622.776601683781</c:v>
                </c:pt>
                <c:pt idx="151">
                  <c:v>33884.415613920231</c:v>
                </c:pt>
                <c:pt idx="152">
                  <c:v>36307.805477010166</c:v>
                </c:pt>
                <c:pt idx="153">
                  <c:v>38904.514499428085</c:v>
                </c:pt>
                <c:pt idx="154">
                  <c:v>41686.93834703348</c:v>
                </c:pt>
                <c:pt idx="155">
                  <c:v>44668.359215096309</c:v>
                </c:pt>
                <c:pt idx="156">
                  <c:v>47863.009232263823</c:v>
                </c:pt>
                <c:pt idx="157">
                  <c:v>51286.138399136456</c:v>
                </c:pt>
                <c:pt idx="158">
                  <c:v>54954.08738576241</c:v>
                </c:pt>
                <c:pt idx="159">
                  <c:v>58884.365535558936</c:v>
                </c:pt>
                <c:pt idx="160">
                  <c:v>63095.734448019342</c:v>
                </c:pt>
                <c:pt idx="161">
                  <c:v>67608.297539198174</c:v>
                </c:pt>
                <c:pt idx="162">
                  <c:v>72443.596007498985</c:v>
                </c:pt>
                <c:pt idx="163">
                  <c:v>77624.711662869129</c:v>
                </c:pt>
                <c:pt idx="164">
                  <c:v>83176.377110267029</c:v>
                </c:pt>
                <c:pt idx="165">
                  <c:v>89125.093813374449</c:v>
                </c:pt>
                <c:pt idx="166">
                  <c:v>95499.258602143629</c:v>
                </c:pt>
                <c:pt idx="167">
                  <c:v>102329.29922807543</c:v>
                </c:pt>
                <c:pt idx="168">
                  <c:v>109647.81961431848</c:v>
                </c:pt>
                <c:pt idx="169">
                  <c:v>117489.75549395289</c:v>
                </c:pt>
                <c:pt idx="170">
                  <c:v>125892.54117941685</c:v>
                </c:pt>
                <c:pt idx="171">
                  <c:v>134896.28825916522</c:v>
                </c:pt>
                <c:pt idx="172">
                  <c:v>144543.97707459255</c:v>
                </c:pt>
                <c:pt idx="173">
                  <c:v>154881.66189124787</c:v>
                </c:pt>
                <c:pt idx="174">
                  <c:v>165958.69074375575</c:v>
                </c:pt>
                <c:pt idx="175">
                  <c:v>177827.94100389219</c:v>
                </c:pt>
                <c:pt idx="176">
                  <c:v>190546.07179632425</c:v>
                </c:pt>
                <c:pt idx="177">
                  <c:v>204173.79446695274</c:v>
                </c:pt>
                <c:pt idx="178">
                  <c:v>218776.16239495497</c:v>
                </c:pt>
                <c:pt idx="179">
                  <c:v>234422.88153199226</c:v>
                </c:pt>
                <c:pt idx="180">
                  <c:v>251188.64315095753</c:v>
                </c:pt>
                <c:pt idx="181">
                  <c:v>269153.48039269098</c:v>
                </c:pt>
                <c:pt idx="182">
                  <c:v>288403.15031266044</c:v>
                </c:pt>
                <c:pt idx="183">
                  <c:v>309029.54325135821</c:v>
                </c:pt>
                <c:pt idx="184">
                  <c:v>331131.12148259068</c:v>
                </c:pt>
                <c:pt idx="185">
                  <c:v>354813.38923357491</c:v>
                </c:pt>
                <c:pt idx="186">
                  <c:v>380189.39632056118</c:v>
                </c:pt>
                <c:pt idx="187">
                  <c:v>407380.27780411189</c:v>
                </c:pt>
                <c:pt idx="188">
                  <c:v>436515.83224016492</c:v>
                </c:pt>
                <c:pt idx="189">
                  <c:v>467735.14128719777</c:v>
                </c:pt>
                <c:pt idx="190">
                  <c:v>501187.23362727172</c:v>
                </c:pt>
                <c:pt idx="191">
                  <c:v>537031.79637025192</c:v>
                </c:pt>
                <c:pt idx="192">
                  <c:v>575439.93733715592</c:v>
                </c:pt>
                <c:pt idx="193">
                  <c:v>616595.00186148204</c:v>
                </c:pt>
                <c:pt idx="194">
                  <c:v>660693.44800759444</c:v>
                </c:pt>
                <c:pt idx="195">
                  <c:v>707945.78438413737</c:v>
                </c:pt>
                <c:pt idx="196">
                  <c:v>758577.57502918295</c:v>
                </c:pt>
                <c:pt idx="197">
                  <c:v>812830.51616409956</c:v>
                </c:pt>
                <c:pt idx="198">
                  <c:v>870963.58995607914</c:v>
                </c:pt>
              </c:numCache>
            </c:numRef>
          </c:xVal>
          <c:yVal>
            <c:numRef>
              <c:f>'9. Loop Compensation'!$AJ$2:$AJ$200</c:f>
              <c:numCache>
                <c:formatCode>General</c:formatCode>
                <c:ptCount val="199"/>
                <c:pt idx="0">
                  <c:v>37.182955269391684</c:v>
                </c:pt>
                <c:pt idx="1">
                  <c:v>37.182901731984593</c:v>
                </c:pt>
                <c:pt idx="2">
                  <c:v>37.182840263630659</c:v>
                </c:pt>
                <c:pt idx="3">
                  <c:v>37.182769689590437</c:v>
                </c:pt>
                <c:pt idx="4">
                  <c:v>37.182688661164875</c:v>
                </c:pt>
                <c:pt idx="5">
                  <c:v>37.182595629949049</c:v>
                </c:pt>
                <c:pt idx="6">
                  <c:v>37.182488818279325</c:v>
                </c:pt>
                <c:pt idx="7">
                  <c:v>37.182366185313555</c:v>
                </c:pt>
                <c:pt idx="8">
                  <c:v>37.182225388100257</c:v>
                </c:pt>
                <c:pt idx="9">
                  <c:v>37.182063736899082</c:v>
                </c:pt>
                <c:pt idx="10">
                  <c:v>37.181878143907191</c:v>
                </c:pt>
                <c:pt idx="11">
                  <c:v>37.181665064422262</c:v>
                </c:pt>
                <c:pt idx="12">
                  <c:v>37.181420429332313</c:v>
                </c:pt>
                <c:pt idx="13">
                  <c:v>37.181139567661369</c:v>
                </c:pt>
                <c:pt idx="14">
                  <c:v>37.180817117715627</c:v>
                </c:pt>
                <c:pt idx="15">
                  <c:v>37.180446925165782</c:v>
                </c:pt>
                <c:pt idx="16">
                  <c:v>37.180021926161366</c:v>
                </c:pt>
                <c:pt idx="17">
                  <c:v>37.179534013301641</c:v>
                </c:pt>
                <c:pt idx="18">
                  <c:v>37.178973881978074</c:v>
                </c:pt>
                <c:pt idx="19">
                  <c:v>37.178330854252565</c:v>
                </c:pt>
                <c:pt idx="20">
                  <c:v>37.177592677038994</c:v>
                </c:pt>
                <c:pt idx="21">
                  <c:v>37.176745290905956</c:v>
                </c:pt>
                <c:pt idx="22">
                  <c:v>37.175772565313316</c:v>
                </c:pt>
                <c:pt idx="23">
                  <c:v>37.174655995526415</c:v>
                </c:pt>
                <c:pt idx="24">
                  <c:v>37.173374355815497</c:v>
                </c:pt>
                <c:pt idx="25">
                  <c:v>37.171903302838196</c:v>
                </c:pt>
                <c:pt idx="26">
                  <c:v>37.170214922316767</c:v>
                </c:pt>
                <c:pt idx="27">
                  <c:v>37.168277211254448</c:v>
                </c:pt>
                <c:pt idx="28">
                  <c:v>37.166053486988019</c:v>
                </c:pt>
                <c:pt idx="29">
                  <c:v>37.163501713346861</c:v>
                </c:pt>
                <c:pt idx="30">
                  <c:v>37.160573733092157</c:v>
                </c:pt>
                <c:pt idx="31">
                  <c:v>37.157214394652755</c:v>
                </c:pt>
                <c:pt idx="32">
                  <c:v>37.153360559983987</c:v>
                </c:pt>
                <c:pt idx="33">
                  <c:v>37.148939979181684</c:v>
                </c:pt>
                <c:pt idx="34">
                  <c:v>37.143870016339221</c:v>
                </c:pt>
                <c:pt idx="35">
                  <c:v>37.138056210110058</c:v>
                </c:pt>
                <c:pt idx="36">
                  <c:v>37.131390651629161</c:v>
                </c:pt>
                <c:pt idx="37">
                  <c:v>37.123750161986997</c:v>
                </c:pt>
                <c:pt idx="38">
                  <c:v>37.114994251512897</c:v>
                </c:pt>
                <c:pt idx="39">
                  <c:v>37.104962843938821</c:v>
                </c:pt>
                <c:pt idx="40">
                  <c:v>37.093473750369668</c:v>
                </c:pt>
                <c:pt idx="41">
                  <c:v>37.080319881249181</c:v>
                </c:pt>
                <c:pt idx="42">
                  <c:v>37.065266189630599</c:v>
                </c:pt>
                <c:pt idx="43">
                  <c:v>37.048046346579341</c:v>
                </c:pt>
                <c:pt idx="44">
                  <c:v>37.028359160088314</c:v>
                </c:pt>
                <c:pt idx="45">
                  <c:v>37.005864763187191</c:v>
                </c:pt>
                <c:pt idx="46">
                  <c:v>36.980180615750356</c:v>
                </c:pt>
                <c:pt idx="47">
                  <c:v>36.950877388623212</c:v>
                </c:pt>
                <c:pt idx="48">
                  <c:v>36.917474828778502</c:v>
                </c:pt>
                <c:pt idx="49">
                  <c:v>36.879437740738538</c:v>
                </c:pt>
                <c:pt idx="50">
                  <c:v>36.836172262489114</c:v>
                </c:pt>
                <c:pt idx="51">
                  <c:v>36.787022662906665</c:v>
                </c:pt>
                <c:pt idx="52">
                  <c:v>36.731268940647503</c:v>
                </c:pt>
                <c:pt idx="53">
                  <c:v>36.66812555842904</c:v>
                </c:pt>
                <c:pt idx="54">
                  <c:v>36.596741696818867</c:v>
                </c:pt>
                <c:pt idx="55">
                  <c:v>36.516203451112098</c:v>
                </c:pt>
                <c:pt idx="56">
                  <c:v>36.425538414537087</c:v>
                </c:pt>
                <c:pt idx="57">
                  <c:v>36.323723079934773</c:v>
                </c:pt>
                <c:pt idx="58">
                  <c:v>36.209693438274741</c:v>
                </c:pt>
                <c:pt idx="59">
                  <c:v>36.082359044595137</c:v>
                </c:pt>
                <c:pt idx="60">
                  <c:v>35.940620651959819</c:v>
                </c:pt>
                <c:pt idx="61">
                  <c:v>35.783391279755101</c:v>
                </c:pt>
                <c:pt idx="62">
                  <c:v>35.609620291528692</c:v>
                </c:pt>
                <c:pt idx="63">
                  <c:v>35.418319729196604</c:v>
                </c:pt>
                <c:pt idx="64">
                  <c:v>35.208591817525928</c:v>
                </c:pt>
                <c:pt idx="65">
                  <c:v>34.979656259292391</c:v>
                </c:pt>
                <c:pt idx="66">
                  <c:v>34.730875737136543</c:v>
                </c:pt>
                <c:pt idx="67">
                  <c:v>34.461777969615888</c:v>
                </c:pt>
                <c:pt idx="68">
                  <c:v>34.172072769303497</c:v>
                </c:pt>
                <c:pt idx="69">
                  <c:v>33.86166282948286</c:v>
                </c:pt>
                <c:pt idx="70">
                  <c:v>33.530647402960149</c:v>
                </c:pt>
                <c:pt idx="71">
                  <c:v>33.179318582654965</c:v>
                </c:pt>
                <c:pt idx="72">
                  <c:v>32.808150478572578</c:v>
                </c:pt>
                <c:pt idx="73">
                  <c:v>32.417782131365392</c:v>
                </c:pt>
                <c:pt idx="74">
                  <c:v>32.008995438701902</c:v>
                </c:pt>
                <c:pt idx="75">
                  <c:v>31.582689648154911</c:v>
                </c:pt>
                <c:pt idx="76">
                  <c:v>31.139854069442599</c:v>
                </c:pt>
                <c:pt idx="77">
                  <c:v>30.68154058926012</c:v>
                </c:pt>
                <c:pt idx="78">
                  <c:v>30.208837366793681</c:v>
                </c:pt>
                <c:pt idx="79">
                  <c:v>29.722844794085418</c:v>
                </c:pt>
                <c:pt idx="80">
                  <c:v>29.224654472426952</c:v>
                </c:pt>
                <c:pt idx="81">
                  <c:v>28.715331627792121</c:v>
                </c:pt>
                <c:pt idx="82">
                  <c:v>28.1959010975947</c:v>
                </c:pt>
                <c:pt idx="83">
                  <c:v>27.667336787290484</c:v>
                </c:pt>
                <c:pt idx="84">
                  <c:v>27.130554325869479</c:v>
                </c:pt>
                <c:pt idx="85">
                  <c:v>26.586406542005378</c:v>
                </c:pt>
                <c:pt idx="86">
                  <c:v>26.035681329282916</c:v>
                </c:pt>
                <c:pt idx="87">
                  <c:v>25.479101458196457</c:v>
                </c:pt>
                <c:pt idx="88">
                  <c:v>24.917325912571894</c:v>
                </c:pt>
                <c:pt idx="89">
                  <c:v>24.350952367780646</c:v>
                </c:pt>
                <c:pt idx="90">
                  <c:v>23.780520478510532</c:v>
                </c:pt>
                <c:pt idx="91">
                  <c:v>23.206515698039386</c:v>
                </c:pt>
                <c:pt idx="92">
                  <c:v>22.629373404077761</c:v>
                </c:pt>
                <c:pt idx="93">
                  <c:v>22.049483155253714</c:v>
                </c:pt>
                <c:pt idx="94">
                  <c:v>21.467192945540067</c:v>
                </c:pt>
                <c:pt idx="95">
                  <c:v>20.882813360720238</c:v>
                </c:pt>
                <c:pt idx="96">
                  <c:v>20.296621571397498</c:v>
                </c:pt>
                <c:pt idx="97">
                  <c:v>19.708865121542043</c:v>
                </c:pt>
                <c:pt idx="98">
                  <c:v>19.119765490813464</c:v>
                </c:pt>
                <c:pt idx="99">
                  <c:v>18.529521423698363</c:v>
                </c:pt>
                <c:pt idx="100">
                  <c:v>17.938312029608685</c:v>
                </c:pt>
                <c:pt idx="101">
                  <c:v>17.346299666244811</c:v>
                </c:pt>
                <c:pt idx="102">
                  <c:v>16.753632624358644</c:v>
                </c:pt>
                <c:pt idx="103">
                  <c:v>16.16044763610957</c:v>
                </c:pt>
                <c:pt idx="104">
                  <c:v>15.566872231938014</c:v>
                </c:pt>
                <c:pt idx="105">
                  <c:v>14.973026972656697</c:v>
                </c:pt>
                <c:pt idx="106">
                  <c:v>14.379027584559967</c:v>
                </c:pt>
                <c:pt idx="107">
                  <c:v>13.784987025999619</c:v>
                </c:pt>
                <c:pt idx="108">
                  <c:v>13.191017514226804</c:v>
                </c:pt>
                <c:pt idx="109">
                  <c:v>12.597232541462933</c:v>
                </c:pt>
                <c:pt idx="110">
                  <c:v>12.003748909193954</c:v>
                </c:pt>
                <c:pt idx="111">
                  <c:v>11.410688809600572</c:v>
                </c:pt>
                <c:pt idx="112">
                  <c:v>10.818181982810554</c:v>
                </c:pt>
                <c:pt idx="113">
                  <c:v>10.226367978217576</c:v>
                </c:pt>
                <c:pt idx="114">
                  <c:v>9.6353985473367434</c:v>
                </c:pt>
                <c:pt idx="115">
                  <c:v>9.0454401943723681</c:v>
                </c:pt>
                <c:pt idx="116">
                  <c:v>8.4566769086416436</c:v>
                </c:pt>
                <c:pt idx="117">
                  <c:v>7.8693130998983101</c:v>
                </c:pt>
                <c:pt idx="118">
                  <c:v>7.2835767530591191</c:v>
                </c:pt>
                <c:pt idx="119">
                  <c:v>6.6997228123695054</c:v>
                </c:pt>
                <c:pt idx="120">
                  <c:v>6.1180367960774165</c:v>
                </c:pt>
                <c:pt idx="121">
                  <c:v>5.5388386305566017</c:v>
                </c:pt>
                <c:pt idx="122">
                  <c:v>4.962486676790002</c:v>
                </c:pt>
                <c:pt idx="123">
                  <c:v>4.3893819014036577</c:v>
                </c:pt>
                <c:pt idx="124">
                  <c:v>3.819972118271787</c:v>
                </c:pt>
                <c:pt idx="125">
                  <c:v>3.2547561944506431</c:v>
                </c:pt>
                <c:pt idx="126">
                  <c:v>2.6942880754768996</c:v>
                </c:pt>
                <c:pt idx="127">
                  <c:v>2.1391804400148158</c:v>
                </c:pt>
                <c:pt idx="128">
                  <c:v>1.5901077433562079</c:v>
                </c:pt>
                <c:pt idx="129">
                  <c:v>1.0478083553987136</c:v>
                </c:pt>
                <c:pt idx="130">
                  <c:v>0.51308544498029907</c:v>
                </c:pt>
                <c:pt idx="131">
                  <c:v>-1.3193785757236315E-2</c:v>
                </c:pt>
                <c:pt idx="132">
                  <c:v>-0.53010094843252253</c:v>
                </c:pt>
                <c:pt idx="133">
                  <c:v>-1.0366518407692058</c:v>
                </c:pt>
                <c:pt idx="134">
                  <c:v>-1.5318147663878929</c:v>
                </c:pt>
                <c:pt idx="135">
                  <c:v>-2.0145221564845892</c:v>
                </c:pt>
                <c:pt idx="136">
                  <c:v>-2.4836857233364782</c:v>
                </c:pt>
                <c:pt idx="137">
                  <c:v>-2.9382151874655476</c:v>
                </c:pt>
                <c:pt idx="138">
                  <c:v>-3.3770403688294461</c:v>
                </c:pt>
                <c:pt idx="139">
                  <c:v>-3.7991361281995828</c:v>
                </c:pt>
                <c:pt idx="140">
                  <c:v>-4.2035493111758244</c:v>
                </c:pt>
                <c:pt idx="141">
                  <c:v>-4.5894265202501643</c:v>
                </c:pt>
                <c:pt idx="142">
                  <c:v>-4.9560412662003914</c:v>
                </c:pt>
                <c:pt idx="143">
                  <c:v>-5.3028188787008705</c:v>
                </c:pt>
                <c:pt idx="144">
                  <c:v>-5.6293575313027731</c:v>
                </c:pt>
                <c:pt idx="145">
                  <c:v>-5.9354438850898514</c:v>
                </c:pt>
                <c:pt idx="146">
                  <c:v>-6.2210621798258847</c:v>
                </c:pt>
                <c:pt idx="147">
                  <c:v>-6.4863960726052969</c:v>
                </c:pt>
                <c:pt idx="148">
                  <c:v>-6.7318230856794408</c:v>
                </c:pt>
                <c:pt idx="149">
                  <c:v>-6.9579021031051944</c:v>
                </c:pt>
                <c:pt idx="150">
                  <c:v>-7.1653548726398029</c:v>
                </c:pt>
                <c:pt idx="151">
                  <c:v>-7.3550428594791351</c:v>
                </c:pt>
                <c:pt idx="152">
                  <c:v>-7.5279410209018991</c:v>
                </c:pt>
                <c:pt idx="153">
                  <c:v>-7.6851101146193308</c:v>
                </c:pt>
                <c:pt idx="154">
                  <c:v>-7.8276690362239476</c:v>
                </c:pt>
                <c:pt idx="155">
                  <c:v>-7.9567684414257354</c:v>
                </c:pt>
                <c:pt idx="156">
                  <c:v>-8.0735665964987877</c:v>
                </c:pt>
                <c:pt idx="157">
                  <c:v>-8.1792080658240867</c:v>
                </c:pt>
                <c:pt idx="158">
                  <c:v>-8.2748055314926301</c:v>
                </c:pt>
                <c:pt idx="159">
                  <c:v>-8.3614247775829895</c:v>
                </c:pt>
                <c:pt idx="160">
                  <c:v>-8.440072678721716</c:v>
                </c:pt>
                <c:pt idx="161">
                  <c:v>-8.5116879146094213</c:v>
                </c:pt>
                <c:pt idx="162">
                  <c:v>-8.5771340853912967</c:v>
                </c:pt>
                <c:pt idx="163">
                  <c:v>-8.6371949160151154</c:v>
                </c:pt>
                <c:pt idx="164">
                  <c:v>-8.6925712951318648</c:v>
                </c:pt>
                <c:pt idx="165">
                  <c:v>-8.7438799766694153</c:v>
                </c:pt>
                <c:pt idx="166">
                  <c:v>-8.7916538594340832</c:v>
                </c:pt>
                <c:pt idx="167">
                  <c:v>-8.8363438317173983</c:v>
                </c:pt>
                <c:pt idx="168">
                  <c:v>-8.8783222061885017</c:v>
                </c:pt>
                <c:pt idx="169">
                  <c:v>-8.9178877630122848</c:v>
                </c:pt>
                <c:pt idx="170">
                  <c:v>-8.9552723621518933</c:v>
                </c:pt>
                <c:pt idx="171">
                  <c:v>-8.9906489856126282</c:v>
                </c:pt>
                <c:pt idx="172">
                  <c:v>-9.0241409439854667</c:v>
                </c:pt>
                <c:pt idx="173">
                  <c:v>-9.0558318541529736</c:v>
                </c:pt>
                <c:pt idx="174">
                  <c:v>-9.0857758944063711</c:v>
                </c:pt>
                <c:pt idx="175">
                  <c:v>-9.1140077936932311</c:v>
                </c:pt>
                <c:pt idx="176">
                  <c:v>-9.1405520273665619</c:v>
                </c:pt>
                <c:pt idx="177">
                  <c:v>-9.1654307729598781</c:v>
                </c:pt>
                <c:pt idx="178">
                  <c:v>-9.1886703127309097</c:v>
                </c:pt>
                <c:pt idx="179">
                  <c:v>-9.2103057317005472</c:v>
                </c:pt>
                <c:pt idx="180">
                  <c:v>-9.2303839237135232</c:v>
                </c:pt>
                <c:pt idx="181">
                  <c:v>-9.2489650595234423</c:v>
                </c:pt>
                <c:pt idx="182">
                  <c:v>-9.2661227735483482</c:v>
                </c:pt>
                <c:pt idx="183">
                  <c:v>-9.2819433828810869</c:v>
                </c:pt>
                <c:pt idx="184">
                  <c:v>-9.2965244654694921</c:v>
                </c:pt>
                <c:pt idx="185">
                  <c:v>-9.3099731026152028</c:v>
                </c:pt>
                <c:pt idx="186">
                  <c:v>-9.3224040457012656</c:v>
                </c:pt>
                <c:pt idx="187">
                  <c:v>-9.3339380101865714</c:v>
                </c:pt>
                <c:pt idx="188">
                  <c:v>-9.3447002413225171</c:v>
                </c:pt>
                <c:pt idx="189">
                  <c:v>-9.3548194428261038</c:v>
                </c:pt>
                <c:pt idx="190">
                  <c:v>-9.3644271159408223</c:v>
                </c:pt>
                <c:pt idx="191">
                  <c:v>-9.3736573234546157</c:v>
                </c:pt>
                <c:pt idx="192">
                  <c:v>-9.3826468710053881</c:v>
                </c:pt>
                <c:pt idx="193">
                  <c:v>-9.3915358849616073</c:v>
                </c:pt>
                <c:pt idx="194">
                  <c:v>-9.4004687603932418</c:v>
                </c:pt>
                <c:pt idx="195">
                  <c:v>-9.4095954521188894</c:v>
                </c:pt>
                <c:pt idx="196">
                  <c:v>-9.4190730847019122</c:v>
                </c:pt>
                <c:pt idx="197">
                  <c:v>-9.4290678620069954</c:v>
                </c:pt>
                <c:pt idx="198">
                  <c:v>-9.4397572622903141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B4-4A76-87CD-AE2B9C6E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91264"/>
        <c:axId val="173590872"/>
      </c:scatterChart>
      <c:valAx>
        <c:axId val="173591264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590872"/>
        <c:crosses val="autoZero"/>
        <c:crossBetween val="midCat"/>
      </c:valAx>
      <c:valAx>
        <c:axId val="173590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5912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Phase of Verr</a:t>
            </a:r>
            <a:r>
              <a:rPr lang="en-US" baseline="0"/>
              <a:t> / Vout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'9. Loop Compensation'!$AQ$1</c:f>
              <c:strCache>
                <c:ptCount val="1"/>
                <c:pt idx="0">
                  <c:v>°</c:v>
                </c:pt>
              </c:strCache>
            </c:strRef>
          </c:tx>
          <c:marker>
            <c:symbol val="none"/>
          </c:marker>
          <c:xVal>
            <c:numRef>
              <c:f>'9. Loop Compensation'!$Z$2:$Z$201</c:f>
              <c:numCache>
                <c:formatCode>General</c:formatCode>
                <c:ptCount val="200"/>
                <c:pt idx="0">
                  <c:v>1</c:v>
                </c:pt>
                <c:pt idx="1">
                  <c:v>1.0715193052376064</c:v>
                </c:pt>
                <c:pt idx="2">
                  <c:v>1.1481536214968828</c:v>
                </c:pt>
                <c:pt idx="3">
                  <c:v>1.2302687708123814</c:v>
                </c:pt>
                <c:pt idx="4">
                  <c:v>1.318256738556407</c:v>
                </c:pt>
                <c:pt idx="5">
                  <c:v>1.4125375446227544</c:v>
                </c:pt>
                <c:pt idx="6">
                  <c:v>1.513561248436208</c:v>
                </c:pt>
                <c:pt idx="7">
                  <c:v>1.6218100973589298</c:v>
                </c:pt>
                <c:pt idx="8">
                  <c:v>1.7378008287493754</c:v>
                </c:pt>
                <c:pt idx="9">
                  <c:v>1.8620871366628673</c:v>
                </c:pt>
                <c:pt idx="10">
                  <c:v>1.9952623149688797</c:v>
                </c:pt>
                <c:pt idx="11">
                  <c:v>2.1379620895022318</c:v>
                </c:pt>
                <c:pt idx="12">
                  <c:v>2.2908676527677727</c:v>
                </c:pt>
                <c:pt idx="13">
                  <c:v>2.4547089156850301</c:v>
                </c:pt>
                <c:pt idx="14">
                  <c:v>2.6302679918953817</c:v>
                </c:pt>
                <c:pt idx="15">
                  <c:v>2.8183829312644537</c:v>
                </c:pt>
                <c:pt idx="16">
                  <c:v>3.0199517204020156</c:v>
                </c:pt>
                <c:pt idx="17">
                  <c:v>3.2359365692962818</c:v>
                </c:pt>
                <c:pt idx="18">
                  <c:v>3.4673685045253162</c:v>
                </c:pt>
                <c:pt idx="19">
                  <c:v>3.7153522909717256</c:v>
                </c:pt>
                <c:pt idx="20">
                  <c:v>3.9810717055349727</c:v>
                </c:pt>
                <c:pt idx="21">
                  <c:v>4.2657951880159262</c:v>
                </c:pt>
                <c:pt idx="22">
                  <c:v>4.570881896148749</c:v>
                </c:pt>
                <c:pt idx="23">
                  <c:v>4.8977881936844616</c:v>
                </c:pt>
                <c:pt idx="24">
                  <c:v>5.2480746024977245</c:v>
                </c:pt>
                <c:pt idx="25">
                  <c:v>5.6234132519034903</c:v>
                </c:pt>
                <c:pt idx="26">
                  <c:v>6.0255958607435751</c:v>
                </c:pt>
                <c:pt idx="27">
                  <c:v>6.4565422903465537</c:v>
                </c:pt>
                <c:pt idx="28">
                  <c:v>6.9183097091893631</c:v>
                </c:pt>
                <c:pt idx="29">
                  <c:v>7.4131024130091765</c:v>
                </c:pt>
                <c:pt idx="30">
                  <c:v>7.943282347242814</c:v>
                </c:pt>
                <c:pt idx="31">
                  <c:v>8.5113803820237646</c:v>
                </c:pt>
                <c:pt idx="32">
                  <c:v>9.1201083935590948</c:v>
                </c:pt>
                <c:pt idx="33">
                  <c:v>9.7723722095581049</c:v>
                </c:pt>
                <c:pt idx="34">
                  <c:v>10.471285480508991</c:v>
                </c:pt>
                <c:pt idx="35">
                  <c:v>11.220184543019631</c:v>
                </c:pt>
                <c:pt idx="36">
                  <c:v>12.022644346174127</c:v>
                </c:pt>
                <c:pt idx="37">
                  <c:v>12.882495516931341</c:v>
                </c:pt>
                <c:pt idx="38">
                  <c:v>13.803842646028851</c:v>
                </c:pt>
                <c:pt idx="39">
                  <c:v>14.791083881682074</c:v>
                </c:pt>
                <c:pt idx="40">
                  <c:v>15.848931924611136</c:v>
                </c:pt>
                <c:pt idx="41">
                  <c:v>16.982436524617441</c:v>
                </c:pt>
                <c:pt idx="42">
                  <c:v>18.197008586099834</c:v>
                </c:pt>
                <c:pt idx="43">
                  <c:v>19.498445997580447</c:v>
                </c:pt>
                <c:pt idx="44">
                  <c:v>20.892961308540382</c:v>
                </c:pt>
                <c:pt idx="45">
                  <c:v>22.387211385683386</c:v>
                </c:pt>
                <c:pt idx="46">
                  <c:v>23.988329190194897</c:v>
                </c:pt>
                <c:pt idx="47">
                  <c:v>25.703957827688622</c:v>
                </c:pt>
                <c:pt idx="48">
                  <c:v>27.542287033381651</c:v>
                </c:pt>
                <c:pt idx="49">
                  <c:v>29.512092266663849</c:v>
                </c:pt>
                <c:pt idx="50">
                  <c:v>31.622776601683789</c:v>
                </c:pt>
                <c:pt idx="51">
                  <c:v>33.884415613920254</c:v>
                </c:pt>
                <c:pt idx="52">
                  <c:v>36.307805477010106</c:v>
                </c:pt>
                <c:pt idx="53">
                  <c:v>38.904514499428039</c:v>
                </c:pt>
                <c:pt idx="54">
                  <c:v>41.686938347033525</c:v>
                </c:pt>
                <c:pt idx="55">
                  <c:v>44.668359215096302</c:v>
                </c:pt>
                <c:pt idx="56">
                  <c:v>47.863009232263813</c:v>
                </c:pt>
                <c:pt idx="57">
                  <c:v>51.286138399136469</c:v>
                </c:pt>
                <c:pt idx="58">
                  <c:v>54.95408738576247</c:v>
                </c:pt>
                <c:pt idx="59">
                  <c:v>58.884365535558892</c:v>
                </c:pt>
                <c:pt idx="60">
                  <c:v>63.095734448019307</c:v>
                </c:pt>
                <c:pt idx="61">
                  <c:v>67.608297539198134</c:v>
                </c:pt>
                <c:pt idx="62">
                  <c:v>72.443596007499011</c:v>
                </c:pt>
                <c:pt idx="63">
                  <c:v>77.624711662869146</c:v>
                </c:pt>
                <c:pt idx="64">
                  <c:v>83.176377110267055</c:v>
                </c:pt>
                <c:pt idx="65">
                  <c:v>89.125093813374562</c:v>
                </c:pt>
                <c:pt idx="66">
                  <c:v>95.49925860214357</c:v>
                </c:pt>
                <c:pt idx="67">
                  <c:v>102.32929922807544</c:v>
                </c:pt>
                <c:pt idx="68">
                  <c:v>109.64781961431841</c:v>
                </c:pt>
                <c:pt idx="69">
                  <c:v>117.48975549395293</c:v>
                </c:pt>
                <c:pt idx="70">
                  <c:v>125.89254117941665</c:v>
                </c:pt>
                <c:pt idx="71">
                  <c:v>134.89628825916537</c:v>
                </c:pt>
                <c:pt idx="72">
                  <c:v>144.54397707459273</c:v>
                </c:pt>
                <c:pt idx="73">
                  <c:v>154.88166189124806</c:v>
                </c:pt>
                <c:pt idx="74">
                  <c:v>165.95869074375608</c:v>
                </c:pt>
                <c:pt idx="75">
                  <c:v>177.82794100389225</c:v>
                </c:pt>
                <c:pt idx="76">
                  <c:v>190.54607179632481</c:v>
                </c:pt>
                <c:pt idx="77">
                  <c:v>204.17379446695278</c:v>
                </c:pt>
                <c:pt idx="78">
                  <c:v>218.77616239495524</c:v>
                </c:pt>
                <c:pt idx="79">
                  <c:v>234.42288153199212</c:v>
                </c:pt>
                <c:pt idx="80">
                  <c:v>251.18864315095806</c:v>
                </c:pt>
                <c:pt idx="81">
                  <c:v>269.15348039269156</c:v>
                </c:pt>
                <c:pt idx="82">
                  <c:v>288.4031503126605</c:v>
                </c:pt>
                <c:pt idx="83">
                  <c:v>309.02954325135909</c:v>
                </c:pt>
                <c:pt idx="84">
                  <c:v>331.13112148259108</c:v>
                </c:pt>
                <c:pt idx="85">
                  <c:v>354.81338923357566</c:v>
                </c:pt>
                <c:pt idx="86">
                  <c:v>380.18939632056095</c:v>
                </c:pt>
                <c:pt idx="87">
                  <c:v>407.38027780411232</c:v>
                </c:pt>
                <c:pt idx="88">
                  <c:v>436.51583224016542</c:v>
                </c:pt>
                <c:pt idx="89">
                  <c:v>467.73514128719791</c:v>
                </c:pt>
                <c:pt idx="90">
                  <c:v>501.18723362727184</c:v>
                </c:pt>
                <c:pt idx="91">
                  <c:v>537.03179637025255</c:v>
                </c:pt>
                <c:pt idx="92">
                  <c:v>575.43993733715661</c:v>
                </c:pt>
                <c:pt idx="93">
                  <c:v>616.59500186148216</c:v>
                </c:pt>
                <c:pt idx="94">
                  <c:v>660.69344800759518</c:v>
                </c:pt>
                <c:pt idx="95">
                  <c:v>707.94578438413748</c:v>
                </c:pt>
                <c:pt idx="96">
                  <c:v>758.57757502918309</c:v>
                </c:pt>
                <c:pt idx="97">
                  <c:v>812.8305161640983</c:v>
                </c:pt>
                <c:pt idx="98">
                  <c:v>870.96358995608011</c:v>
                </c:pt>
                <c:pt idx="99">
                  <c:v>933.25430079699026</c:v>
                </c:pt>
                <c:pt idx="100">
                  <c:v>999.99999999999977</c:v>
                </c:pt>
                <c:pt idx="101">
                  <c:v>1071.5193052376057</c:v>
                </c:pt>
                <c:pt idx="102">
                  <c:v>1148.1536214968828</c:v>
                </c:pt>
                <c:pt idx="103">
                  <c:v>1230.2687708123801</c:v>
                </c:pt>
                <c:pt idx="104">
                  <c:v>1318.2567385564053</c:v>
                </c:pt>
                <c:pt idx="105">
                  <c:v>1412.5375446227531</c:v>
                </c:pt>
                <c:pt idx="106">
                  <c:v>1513.5612484362066</c:v>
                </c:pt>
                <c:pt idx="107">
                  <c:v>1621.8100973589292</c:v>
                </c:pt>
                <c:pt idx="108">
                  <c:v>1737.8008287493742</c:v>
                </c:pt>
                <c:pt idx="109">
                  <c:v>1862.0871366628671</c:v>
                </c:pt>
                <c:pt idx="110">
                  <c:v>1995.2623149688786</c:v>
                </c:pt>
                <c:pt idx="111">
                  <c:v>2137.9620895022326</c:v>
                </c:pt>
                <c:pt idx="112">
                  <c:v>2290.8676527677708</c:v>
                </c:pt>
                <c:pt idx="113">
                  <c:v>2454.708915685027</c:v>
                </c:pt>
                <c:pt idx="114">
                  <c:v>2630.26799189538</c:v>
                </c:pt>
                <c:pt idx="115">
                  <c:v>2818.3829312644511</c:v>
                </c:pt>
                <c:pt idx="116">
                  <c:v>3019.9517204020176</c:v>
                </c:pt>
                <c:pt idx="117">
                  <c:v>3235.9365692962774</c:v>
                </c:pt>
                <c:pt idx="118">
                  <c:v>3467.368504525316</c:v>
                </c:pt>
                <c:pt idx="119">
                  <c:v>3715.352290971724</c:v>
                </c:pt>
                <c:pt idx="120">
                  <c:v>3981.0717055349701</c:v>
                </c:pt>
                <c:pt idx="121">
                  <c:v>4265.7951880159226</c:v>
                </c:pt>
                <c:pt idx="122">
                  <c:v>4570.881896148745</c:v>
                </c:pt>
                <c:pt idx="123">
                  <c:v>4897.7881936844633</c:v>
                </c:pt>
                <c:pt idx="124">
                  <c:v>5248.0746024977261</c:v>
                </c:pt>
                <c:pt idx="125">
                  <c:v>5623.4132519034893</c:v>
                </c:pt>
                <c:pt idx="126">
                  <c:v>6025.5958607435741</c:v>
                </c:pt>
                <c:pt idx="127">
                  <c:v>6456.5422903465496</c:v>
                </c:pt>
                <c:pt idx="128">
                  <c:v>6918.3097091893569</c:v>
                </c:pt>
                <c:pt idx="129">
                  <c:v>7413.1024130091646</c:v>
                </c:pt>
                <c:pt idx="130">
                  <c:v>7943.2823472428154</c:v>
                </c:pt>
                <c:pt idx="131">
                  <c:v>8511.3803820237626</c:v>
                </c:pt>
                <c:pt idx="132">
                  <c:v>9120.1083935590923</c:v>
                </c:pt>
                <c:pt idx="133">
                  <c:v>9772.3722095580997</c:v>
                </c:pt>
                <c:pt idx="134">
                  <c:v>10471.285480509003</c:v>
                </c:pt>
                <c:pt idx="135">
                  <c:v>11220.184543019639</c:v>
                </c:pt>
                <c:pt idx="136">
                  <c:v>12022.644346174109</c:v>
                </c:pt>
                <c:pt idx="137">
                  <c:v>12882.495516931338</c:v>
                </c:pt>
                <c:pt idx="138">
                  <c:v>13803.842646028841</c:v>
                </c:pt>
                <c:pt idx="139">
                  <c:v>14791.083881682063</c:v>
                </c:pt>
                <c:pt idx="140">
                  <c:v>15848.931924611119</c:v>
                </c:pt>
                <c:pt idx="141">
                  <c:v>16982.436524617453</c:v>
                </c:pt>
                <c:pt idx="142">
                  <c:v>18197.008586099837</c:v>
                </c:pt>
                <c:pt idx="143">
                  <c:v>19498.445997580417</c:v>
                </c:pt>
                <c:pt idx="144">
                  <c:v>20892.961308540387</c:v>
                </c:pt>
                <c:pt idx="145">
                  <c:v>22387.211385683382</c:v>
                </c:pt>
                <c:pt idx="146">
                  <c:v>23988.32919019488</c:v>
                </c:pt>
                <c:pt idx="147">
                  <c:v>25703.957827688606</c:v>
                </c:pt>
                <c:pt idx="148">
                  <c:v>27542.287033381672</c:v>
                </c:pt>
                <c:pt idx="149">
                  <c:v>29512.092266663854</c:v>
                </c:pt>
                <c:pt idx="150">
                  <c:v>31622.776601683781</c:v>
                </c:pt>
                <c:pt idx="151">
                  <c:v>33884.415613920231</c:v>
                </c:pt>
                <c:pt idx="152">
                  <c:v>36307.805477010166</c:v>
                </c:pt>
                <c:pt idx="153">
                  <c:v>38904.514499428085</c:v>
                </c:pt>
                <c:pt idx="154">
                  <c:v>41686.93834703348</c:v>
                </c:pt>
                <c:pt idx="155">
                  <c:v>44668.359215096309</c:v>
                </c:pt>
                <c:pt idx="156">
                  <c:v>47863.009232263823</c:v>
                </c:pt>
                <c:pt idx="157">
                  <c:v>51286.138399136456</c:v>
                </c:pt>
                <c:pt idx="158">
                  <c:v>54954.08738576241</c:v>
                </c:pt>
                <c:pt idx="159">
                  <c:v>58884.365535558936</c:v>
                </c:pt>
                <c:pt idx="160">
                  <c:v>63095.734448019342</c:v>
                </c:pt>
                <c:pt idx="161">
                  <c:v>67608.297539198174</c:v>
                </c:pt>
                <c:pt idx="162">
                  <c:v>72443.596007498985</c:v>
                </c:pt>
                <c:pt idx="163">
                  <c:v>77624.711662869129</c:v>
                </c:pt>
                <c:pt idx="164">
                  <c:v>83176.377110267029</c:v>
                </c:pt>
                <c:pt idx="165">
                  <c:v>89125.093813374449</c:v>
                </c:pt>
                <c:pt idx="166">
                  <c:v>95499.258602143629</c:v>
                </c:pt>
                <c:pt idx="167">
                  <c:v>102329.29922807543</c:v>
                </c:pt>
                <c:pt idx="168">
                  <c:v>109647.81961431848</c:v>
                </c:pt>
                <c:pt idx="169">
                  <c:v>117489.75549395289</c:v>
                </c:pt>
                <c:pt idx="170">
                  <c:v>125892.54117941685</c:v>
                </c:pt>
                <c:pt idx="171">
                  <c:v>134896.28825916522</c:v>
                </c:pt>
                <c:pt idx="172">
                  <c:v>144543.97707459255</c:v>
                </c:pt>
                <c:pt idx="173">
                  <c:v>154881.66189124787</c:v>
                </c:pt>
                <c:pt idx="174">
                  <c:v>165958.69074375575</c:v>
                </c:pt>
                <c:pt idx="175">
                  <c:v>177827.94100389219</c:v>
                </c:pt>
                <c:pt idx="176">
                  <c:v>190546.07179632425</c:v>
                </c:pt>
                <c:pt idx="177">
                  <c:v>204173.79446695274</c:v>
                </c:pt>
                <c:pt idx="178">
                  <c:v>218776.16239495497</c:v>
                </c:pt>
                <c:pt idx="179">
                  <c:v>234422.88153199226</c:v>
                </c:pt>
                <c:pt idx="180">
                  <c:v>251188.64315095753</c:v>
                </c:pt>
                <c:pt idx="181">
                  <c:v>269153.48039269098</c:v>
                </c:pt>
                <c:pt idx="182">
                  <c:v>288403.15031266044</c:v>
                </c:pt>
                <c:pt idx="183">
                  <c:v>309029.54325135821</c:v>
                </c:pt>
                <c:pt idx="184">
                  <c:v>331131.12148259068</c:v>
                </c:pt>
                <c:pt idx="185">
                  <c:v>354813.38923357491</c:v>
                </c:pt>
                <c:pt idx="186">
                  <c:v>380189.39632056118</c:v>
                </c:pt>
                <c:pt idx="187">
                  <c:v>407380.27780411189</c:v>
                </c:pt>
                <c:pt idx="188">
                  <c:v>436515.83224016492</c:v>
                </c:pt>
                <c:pt idx="189">
                  <c:v>467735.14128719777</c:v>
                </c:pt>
                <c:pt idx="190">
                  <c:v>501187.23362727172</c:v>
                </c:pt>
                <c:pt idx="191">
                  <c:v>537031.79637025192</c:v>
                </c:pt>
                <c:pt idx="192">
                  <c:v>575439.93733715592</c:v>
                </c:pt>
                <c:pt idx="193">
                  <c:v>616595.00186148204</c:v>
                </c:pt>
                <c:pt idx="194">
                  <c:v>660693.44800759444</c:v>
                </c:pt>
                <c:pt idx="195">
                  <c:v>707945.78438413737</c:v>
                </c:pt>
                <c:pt idx="196">
                  <c:v>758577.57502918295</c:v>
                </c:pt>
                <c:pt idx="197">
                  <c:v>812830.51616409956</c:v>
                </c:pt>
                <c:pt idx="198">
                  <c:v>870963.58995607914</c:v>
                </c:pt>
                <c:pt idx="199">
                  <c:v>933254.30079698924</c:v>
                </c:pt>
              </c:numCache>
            </c:numRef>
          </c:xVal>
          <c:yVal>
            <c:numRef>
              <c:f>'9. Loop Compensation'!$AQ$2:$AQ$201</c:f>
              <c:numCache>
                <c:formatCode>General</c:formatCode>
                <c:ptCount val="200"/>
                <c:pt idx="0">
                  <c:v>172.69763257822828</c:v>
                </c:pt>
                <c:pt idx="1">
                  <c:v>172.18190561935674</c:v>
                </c:pt>
                <c:pt idx="2">
                  <c:v>171.63077317178909</c:v>
                </c:pt>
                <c:pt idx="3">
                  <c:v>171.04203332670909</c:v>
                </c:pt>
                <c:pt idx="4">
                  <c:v>170.41339863477</c:v>
                </c:pt>
                <c:pt idx="5">
                  <c:v>169.74250493670564</c:v>
                </c:pt>
                <c:pt idx="6">
                  <c:v>169.02692364777371</c:v>
                </c:pt>
                <c:pt idx="7">
                  <c:v>168.26417816459087</c:v>
                </c:pt>
                <c:pt idx="8">
                  <c:v>167.45176512909376</c:v>
                </c:pt>
                <c:pt idx="9">
                  <c:v>166.58718133546628</c:v>
                </c:pt>
                <c:pt idx="10">
                  <c:v>165.66795709064536</c:v>
                </c:pt>
                <c:pt idx="11">
                  <c:v>164.69169682279158</c:v>
                </c:pt>
                <c:pt idx="12">
                  <c:v>163.6561276565273</c:v>
                </c:pt>
                <c:pt idx="13">
                  <c:v>162.55915651711177</c:v>
                </c:pt>
                <c:pt idx="14">
                  <c:v>161.39893606393062</c:v>
                </c:pt>
                <c:pt idx="15">
                  <c:v>160.17393936243573</c:v>
                </c:pt>
                <c:pt idx="16">
                  <c:v>158.88304266199876</c:v>
                </c:pt>
                <c:pt idx="17">
                  <c:v>157.52561494283404</c:v>
                </c:pt>
                <c:pt idx="18">
                  <c:v>156.10161203176077</c:v>
                </c:pt>
                <c:pt idx="19">
                  <c:v>154.61167209186965</c:v>
                </c:pt>
                <c:pt idx="20">
                  <c:v>153.05720822548977</c:v>
                </c:pt>
                <c:pt idx="21">
                  <c:v>151.4404928923681</c:v>
                </c:pt>
                <c:pt idx="22">
                  <c:v>149.76472797483976</c:v>
                </c:pt>
                <c:pt idx="23">
                  <c:v>148.03409379038311</c:v>
                </c:pt>
                <c:pt idx="24">
                  <c:v>146.25377034390448</c:v>
                </c:pt>
                <c:pt idx="25">
                  <c:v>144.42992479323303</c:v>
                </c:pt>
                <c:pt idx="26">
                  <c:v>142.56966057737679</c:v>
                </c:pt>
                <c:pt idx="27">
                  <c:v>140.68092593043681</c:v>
                </c:pt>
                <c:pt idx="28">
                  <c:v>138.77238244032165</c:v>
                </c:pt>
                <c:pt idx="29">
                  <c:v>136.85323763035584</c:v>
                </c:pt>
                <c:pt idx="30">
                  <c:v>134.93304884270191</c:v>
                </c:pt>
                <c:pt idx="31">
                  <c:v>133.02150852560314</c:v>
                </c:pt>
                <c:pt idx="32">
                  <c:v>131.1282229413201</c:v>
                </c:pt>
                <c:pt idx="33">
                  <c:v>129.26249700976442</c:v>
                </c:pt>
                <c:pt idx="34">
                  <c:v>127.43313736872602</c:v>
                </c:pt>
                <c:pt idx="35">
                  <c:v>125.64828387021394</c:v>
                </c:pt>
                <c:pt idx="36">
                  <c:v>123.91527694430575</c:v>
                </c:pt>
                <c:pt idx="37">
                  <c:v>122.2405649735723</c:v>
                </c:pt>
                <c:pt idx="38">
                  <c:v>120.62965249300534</c:v>
                </c:pt>
                <c:pt idx="39">
                  <c:v>119.08708706773699</c:v>
                </c:pt>
                <c:pt idx="40">
                  <c:v>117.61648039063755</c:v>
                </c:pt>
                <c:pt idx="41">
                  <c:v>116.22055762550966</c:v>
                </c:pt>
                <c:pt idx="42">
                  <c:v>114.9012283027317</c:v>
                </c:pt>
                <c:pt idx="43">
                  <c:v>113.65967205102582</c:v>
                </c:pt>
                <c:pt idx="44">
                  <c:v>112.49643295751059</c:v>
                </c:pt>
                <c:pt idx="45">
                  <c:v>111.41151720376423</c:v>
                </c:pt>
                <c:pt idx="46">
                  <c:v>110.40448965550722</c:v>
                </c:pt>
                <c:pt idx="47">
                  <c:v>109.47456614661395</c:v>
                </c:pt>
                <c:pt idx="48">
                  <c:v>108.62069919312533</c:v>
                </c:pt>
                <c:pt idx="49">
                  <c:v>107.84165573745925</c:v>
                </c:pt>
                <c:pt idx="50">
                  <c:v>107.13608622764204</c:v>
                </c:pt>
                <c:pt idx="51">
                  <c:v>106.50258487629621</c:v>
                </c:pt>
                <c:pt idx="52">
                  <c:v>105.93974133056717</c:v>
                </c:pt>
                <c:pt idx="53">
                  <c:v>105.44618423740908</c:v>
                </c:pt>
                <c:pt idx="54">
                  <c:v>105.02061733246542</c:v>
                </c:pt>
                <c:pt idx="55">
                  <c:v>104.66184873878018</c:v>
                </c:pt>
                <c:pt idx="56">
                  <c:v>104.36881415504823</c:v>
                </c:pt>
                <c:pt idx="57">
                  <c:v>104.14059455995458</c:v>
                </c:pt>
                <c:pt idx="58">
                  <c:v>103.97642897359374</c:v>
                </c:pt>
                <c:pt idx="59">
                  <c:v>103.87572270982726</c:v>
                </c:pt>
                <c:pt idx="60">
                  <c:v>103.83805143260957</c:v>
                </c:pt>
                <c:pt idx="61">
                  <c:v>103.86316120038495</c:v>
                </c:pt>
                <c:pt idx="62">
                  <c:v>103.95096454960549</c:v>
                </c:pt>
                <c:pt idx="63">
                  <c:v>104.10153253424677</c:v>
                </c:pt>
                <c:pt idx="64">
                  <c:v>104.31508250567728</c:v>
                </c:pt>
                <c:pt idx="65">
                  <c:v>104.59196128945823</c:v>
                </c:pt>
                <c:pt idx="66">
                  <c:v>104.93262329684705</c:v>
                </c:pt>
                <c:pt idx="67">
                  <c:v>105.33760300481835</c:v>
                </c:pt>
                <c:pt idx="68">
                  <c:v>105.80748115766826</c:v>
                </c:pt>
                <c:pt idx="69">
                  <c:v>106.34284399704701</c:v>
                </c:pt>
                <c:pt idx="70">
                  <c:v>106.94423483043229</c:v>
                </c:pt>
                <c:pt idx="71">
                  <c:v>107.61209731910257</c:v>
                </c:pt>
                <c:pt idx="72">
                  <c:v>108.34671002741389</c:v>
                </c:pt>
                <c:pt idx="73">
                  <c:v>109.14811204954195</c:v>
                </c:pt>
                <c:pt idx="74">
                  <c:v>110.01601994147269</c:v>
                </c:pt>
                <c:pt idx="75">
                  <c:v>110.94973675434154</c:v>
                </c:pt>
                <c:pt idx="76">
                  <c:v>111.94805469977379</c:v>
                </c:pt>
                <c:pt idx="77">
                  <c:v>113.0091538708534</c:v>
                </c:pt>
                <c:pt idx="78">
                  <c:v>114.13050046014619</c:v>
                </c:pt>
                <c:pt idx="79">
                  <c:v>115.30874899120077</c:v>
                </c:pt>
                <c:pt idx="80">
                  <c:v>116.53965410502909</c:v>
                </c:pt>
                <c:pt idx="81">
                  <c:v>117.81799827198563</c:v>
                </c:pt>
                <c:pt idx="82">
                  <c:v>119.13754225654785</c:v>
                </c:pt>
                <c:pt idx="83">
                  <c:v>120.49100506445367</c:v>
                </c:pt>
                <c:pt idx="84">
                  <c:v>121.87007929157764</c:v>
                </c:pt>
                <c:pt idx="85">
                  <c:v>123.26548618393599</c:v>
                </c:pt>
                <c:pt idx="86">
                  <c:v>124.66707233173295</c:v>
                </c:pt>
                <c:pt idx="87">
                  <c:v>126.06394692167559</c:v>
                </c:pt>
                <c:pt idx="88">
                  <c:v>127.44465516885475</c:v>
                </c:pt>
                <c:pt idx="89">
                  <c:v>128.79738036111632</c:v>
                </c:pt>
                <c:pt idx="90">
                  <c:v>130.11016433635302</c:v>
                </c:pt>
                <c:pt idx="91">
                  <c:v>131.37113458912211</c:v>
                </c:pt>
                <c:pt idx="92">
                  <c:v>132.56872584064473</c:v>
                </c:pt>
                <c:pt idx="93">
                  <c:v>133.69188487506597</c:v>
                </c:pt>
                <c:pt idx="94">
                  <c:v>134.73024959321518</c:v>
                </c:pt>
                <c:pt idx="95">
                  <c:v>135.6742962246565</c:v>
                </c:pt>
                <c:pt idx="96">
                  <c:v>136.51545201998604</c:v>
                </c:pt>
                <c:pt idx="97">
                  <c:v>137.24617405058365</c:v>
                </c:pt>
                <c:pt idx="98">
                  <c:v>137.8599975714871</c:v>
                </c:pt>
                <c:pt idx="99">
                  <c:v>138.3515594771124</c:v>
                </c:pt>
                <c:pt idx="100">
                  <c:v>138.71660356474553</c:v>
                </c:pt>
                <c:pt idx="101">
                  <c:v>138.95197461327041</c:v>
                </c:pt>
                <c:pt idx="102">
                  <c:v>139.05560777806937</c:v>
                </c:pt>
                <c:pt idx="103">
                  <c:v>139.02651864832362</c:v>
                </c:pt>
                <c:pt idx="104">
                  <c:v>138.86479768360346</c:v>
                </c:pt>
                <c:pt idx="105">
                  <c:v>138.57161081612071</c:v>
                </c:pt>
                <c:pt idx="106">
                  <c:v>138.14920593782236</c:v>
                </c:pt>
                <c:pt idx="107">
                  <c:v>137.60092294533743</c:v>
                </c:pt>
                <c:pt idx="108">
                  <c:v>136.9312031495634</c:v>
                </c:pt>
                <c:pt idx="109">
                  <c:v>136.1455923374231</c:v>
                </c:pt>
                <c:pt idx="110">
                  <c:v>135.25073077597736</c:v>
                </c:pt>
                <c:pt idx="111">
                  <c:v>134.25432314388331</c:v>
                </c:pt>
                <c:pt idx="112">
                  <c:v>133.16508190147275</c:v>
                </c:pt>
                <c:pt idx="113">
                  <c:v>131.99263903981389</c:v>
                </c:pt>
                <c:pt idx="114">
                  <c:v>130.74742344481538</c:v>
                </c:pt>
                <c:pt idx="115">
                  <c:v>129.44050410189982</c:v>
                </c:pt>
                <c:pt idx="116">
                  <c:v>128.08340273580936</c:v>
                </c:pt>
                <c:pt idx="117">
                  <c:v>126.68788280300308</c:v>
                </c:pt>
                <c:pt idx="118">
                  <c:v>125.26572455900417</c:v>
                </c:pt>
                <c:pt idx="119">
                  <c:v>123.82849778139877</c:v>
                </c:pt>
                <c:pt idx="120">
                  <c:v>122.38734434664153</c:v>
                </c:pt>
                <c:pt idx="121">
                  <c:v>120.95278214188711</c:v>
                </c:pt>
                <c:pt idx="122">
                  <c:v>119.53453986977186</c:v>
                </c:pt>
                <c:pt idx="123">
                  <c:v>118.14142949293738</c:v>
                </c:pt>
                <c:pt idx="124">
                  <c:v>116.78125980122836</c:v>
                </c:pt>
                <c:pt idx="125">
                  <c:v>115.46079132615671</c:v>
                </c:pt>
                <c:pt idx="126">
                  <c:v>114.18572996887617</c:v>
                </c:pt>
                <c:pt idx="127">
                  <c:v>112.9607545206263</c:v>
                </c:pt>
                <c:pt idx="128">
                  <c:v>111.78957186326971</c:v>
                </c:pt>
                <c:pt idx="129">
                  <c:v>110.67499303209132</c:v>
                </c:pt>
                <c:pt idx="130">
                  <c:v>109.61902339273313</c:v>
                </c:pt>
                <c:pt idx="131">
                  <c:v>108.62296076111942</c:v>
                </c:pt>
                <c:pt idx="132">
                  <c:v>107.68749619551095</c:v>
                </c:pt>
                <c:pt idx="133">
                  <c:v>106.81281324408452</c:v>
                </c:pt>
                <c:pt idx="134">
                  <c:v>105.99868250359867</c:v>
                </c:pt>
                <c:pt idx="135">
                  <c:v>105.24454933864411</c:v>
                </c:pt>
                <c:pt idx="136">
                  <c:v>104.54961346911806</c:v>
                </c:pt>
                <c:pt idx="137">
                  <c:v>103.91289983025332</c:v>
                </c:pt>
                <c:pt idx="138">
                  <c:v>103.33332064271444</c:v>
                </c:pt>
                <c:pt idx="139">
                  <c:v>102.80972901305259</c:v>
                </c:pt>
                <c:pt idx="140">
                  <c:v>102.34096463858607</c:v>
                </c:pt>
                <c:pt idx="141">
                  <c:v>101.92589233992274</c:v>
                </c:pt>
                <c:pt idx="142">
                  <c:v>101.56343421279887</c:v>
                </c:pt>
                <c:pt idx="143">
                  <c:v>101.25259620007846</c:v>
                </c:pt>
                <c:pt idx="144">
                  <c:v>100.99248985256935</c:v>
                </c:pt>
                <c:pt idx="145">
                  <c:v>100.78234998802398</c:v>
                </c:pt>
                <c:pt idx="146">
                  <c:v>100.62154888204046</c:v>
                </c:pt>
                <c:pt idx="147">
                  <c:v>100.50960754031624</c:v>
                </c:pt>
                <c:pt idx="148">
                  <c:v>100.44620451403212</c:v>
                </c:pt>
                <c:pt idx="149">
                  <c:v>100.43118263232273</c:v>
                </c:pt>
                <c:pt idx="150">
                  <c:v>100.46455393952786</c:v>
                </c:pt>
                <c:pt idx="151">
                  <c:v>100.54650304087166</c:v>
                </c:pt>
                <c:pt idx="152">
                  <c:v>100.67738897820281</c:v>
                </c:pt>
                <c:pt idx="153">
                  <c:v>100.85774567681406</c:v>
                </c:pt>
                <c:pt idx="154">
                  <c:v>101.08828092419108</c:v>
                </c:pt>
                <c:pt idx="155">
                  <c:v>101.3698737607959</c:v>
                </c:pt>
                <c:pt idx="156">
                  <c:v>101.70357008075445</c:v>
                </c:pt>
                <c:pt idx="157">
                  <c:v>102.09057615595016</c:v>
                </c:pt>
                <c:pt idx="158">
                  <c:v>102.5322497104566</c:v>
                </c:pt>
                <c:pt idx="159">
                  <c:v>103.03008808415771</c:v>
                </c:pt>
                <c:pt idx="160">
                  <c:v>103.58571293667448</c:v>
                </c:pt>
                <c:pt idx="161">
                  <c:v>104.20085085872887</c:v>
                </c:pt>
                <c:pt idx="162">
                  <c:v>104.87730918327206</c:v>
                </c:pt>
                <c:pt idx="163">
                  <c:v>105.61694623104646</c:v>
                </c:pt>
                <c:pt idx="164">
                  <c:v>106.42163519582633</c:v>
                </c:pt>
                <c:pt idx="165">
                  <c:v>107.29322088792203</c:v>
                </c:pt>
                <c:pt idx="166">
                  <c:v>108.23346862891212</c:v>
                </c:pt>
                <c:pt idx="167">
                  <c:v>109.24400474761514</c:v>
                </c:pt>
                <c:pt idx="168">
                  <c:v>110.32624839102465</c:v>
                </c:pt>
                <c:pt idx="169">
                  <c:v>111.48133475845374</c:v>
                </c:pt>
                <c:pt idx="170">
                  <c:v>112.71003041310684</c:v>
                </c:pt>
                <c:pt idx="171">
                  <c:v>114.01264203446904</c:v>
                </c:pt>
                <c:pt idx="172">
                  <c:v>115.38892084290526</c:v>
                </c:pt>
                <c:pt idx="173">
                  <c:v>116.83796592590006</c:v>
                </c:pt>
                <c:pt idx="174">
                  <c:v>118.35813076178913</c:v>
                </c:pt>
                <c:pt idx="175">
                  <c:v>119.94693827099492</c:v>
                </c:pt>
                <c:pt idx="176">
                  <c:v>121.6010105862217</c:v>
                </c:pt>
                <c:pt idx="177">
                  <c:v>123.3160202494597</c:v>
                </c:pt>
                <c:pt idx="178">
                  <c:v>125.08666953047728</c:v>
                </c:pt>
                <c:pt idx="179">
                  <c:v>126.90670385422058</c:v>
                </c:pt>
                <c:pt idx="180">
                  <c:v>128.76896382031777</c:v>
                </c:pt>
                <c:pt idx="181">
                  <c:v>130.66547799866072</c:v>
                </c:pt>
                <c:pt idx="182">
                  <c:v>132.58759573030088</c:v>
                </c:pt>
                <c:pt idx="183">
                  <c:v>134.52615583764521</c:v>
                </c:pt>
                <c:pt idx="184">
                  <c:v>136.4716838563121</c:v>
                </c:pt>
                <c:pt idx="185">
                  <c:v>138.41460760315854</c:v>
                </c:pt>
                <c:pt idx="186">
                  <c:v>140.34547901865437</c:v>
                </c:pt>
                <c:pt idx="187">
                  <c:v>142.25518956972508</c:v>
                </c:pt>
                <c:pt idx="188">
                  <c:v>144.13516717939004</c:v>
                </c:pt>
                <c:pt idx="189">
                  <c:v>145.97754454942981</c:v>
                </c:pt>
                <c:pt idx="190">
                  <c:v>147.7752915556913</c:v>
                </c:pt>
                <c:pt idx="191">
                  <c:v>149.52230769303651</c:v>
                </c:pt>
                <c:pt idx="192">
                  <c:v>151.21347386854407</c:v>
                </c:pt>
                <c:pt idx="193">
                  <c:v>152.84466578524717</c:v>
                </c:pt>
                <c:pt idx="194">
                  <c:v>154.41273344231485</c:v>
                </c:pt>
                <c:pt idx="195">
                  <c:v>155.91545276480969</c:v>
                </c:pt>
                <c:pt idx="196">
                  <c:v>157.35145606760889</c:v>
                </c:pt>
                <c:pt idx="197">
                  <c:v>158.72014805837526</c:v>
                </c:pt>
                <c:pt idx="198">
                  <c:v>160.0216135589628</c:v>
                </c:pt>
                <c:pt idx="199">
                  <c:v>161.25652225786683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16-4008-A2E4-8D9BF941D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18552"/>
        <c:axId val="173018160"/>
      </c:scatterChart>
      <c:valAx>
        <c:axId val="173018552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018160"/>
        <c:crosses val="autoZero"/>
        <c:crossBetween val="midCat"/>
      </c:valAx>
      <c:valAx>
        <c:axId val="173018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0185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|Verr</a:t>
            </a:r>
            <a:r>
              <a:rPr lang="en-US" baseline="0"/>
              <a:t> / Vout|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'9. Loop Compensation'!$AR$1</c:f>
              <c:strCache>
                <c:ptCount val="1"/>
                <c:pt idx="0">
                  <c:v>db</c:v>
                </c:pt>
              </c:strCache>
            </c:strRef>
          </c:tx>
          <c:marker>
            <c:symbol val="none"/>
          </c:marker>
          <c:xVal>
            <c:numRef>
              <c:f>'9. Loop Compensation'!$Z$2:$Z$200</c:f>
              <c:numCache>
                <c:formatCode>General</c:formatCode>
                <c:ptCount val="199"/>
                <c:pt idx="0">
                  <c:v>1</c:v>
                </c:pt>
                <c:pt idx="1">
                  <c:v>1.0715193052376064</c:v>
                </c:pt>
                <c:pt idx="2">
                  <c:v>1.1481536214968828</c:v>
                </c:pt>
                <c:pt idx="3">
                  <c:v>1.2302687708123814</c:v>
                </c:pt>
                <c:pt idx="4">
                  <c:v>1.318256738556407</c:v>
                </c:pt>
                <c:pt idx="5">
                  <c:v>1.4125375446227544</c:v>
                </c:pt>
                <c:pt idx="6">
                  <c:v>1.513561248436208</c:v>
                </c:pt>
                <c:pt idx="7">
                  <c:v>1.6218100973589298</c:v>
                </c:pt>
                <c:pt idx="8">
                  <c:v>1.7378008287493754</c:v>
                </c:pt>
                <c:pt idx="9">
                  <c:v>1.8620871366628673</c:v>
                </c:pt>
                <c:pt idx="10">
                  <c:v>1.9952623149688797</c:v>
                </c:pt>
                <c:pt idx="11">
                  <c:v>2.1379620895022318</c:v>
                </c:pt>
                <c:pt idx="12">
                  <c:v>2.2908676527677727</c:v>
                </c:pt>
                <c:pt idx="13">
                  <c:v>2.4547089156850301</c:v>
                </c:pt>
                <c:pt idx="14">
                  <c:v>2.6302679918953817</c:v>
                </c:pt>
                <c:pt idx="15">
                  <c:v>2.8183829312644537</c:v>
                </c:pt>
                <c:pt idx="16">
                  <c:v>3.0199517204020156</c:v>
                </c:pt>
                <c:pt idx="17">
                  <c:v>3.2359365692962818</c:v>
                </c:pt>
                <c:pt idx="18">
                  <c:v>3.4673685045253162</c:v>
                </c:pt>
                <c:pt idx="19">
                  <c:v>3.7153522909717256</c:v>
                </c:pt>
                <c:pt idx="20">
                  <c:v>3.9810717055349727</c:v>
                </c:pt>
                <c:pt idx="21">
                  <c:v>4.2657951880159262</c:v>
                </c:pt>
                <c:pt idx="22">
                  <c:v>4.570881896148749</c:v>
                </c:pt>
                <c:pt idx="23">
                  <c:v>4.8977881936844616</c:v>
                </c:pt>
                <c:pt idx="24">
                  <c:v>5.2480746024977245</c:v>
                </c:pt>
                <c:pt idx="25">
                  <c:v>5.6234132519034903</c:v>
                </c:pt>
                <c:pt idx="26">
                  <c:v>6.0255958607435751</c:v>
                </c:pt>
                <c:pt idx="27">
                  <c:v>6.4565422903465537</c:v>
                </c:pt>
                <c:pt idx="28">
                  <c:v>6.9183097091893631</c:v>
                </c:pt>
                <c:pt idx="29">
                  <c:v>7.4131024130091765</c:v>
                </c:pt>
                <c:pt idx="30">
                  <c:v>7.943282347242814</c:v>
                </c:pt>
                <c:pt idx="31">
                  <c:v>8.5113803820237646</c:v>
                </c:pt>
                <c:pt idx="32">
                  <c:v>9.1201083935590948</c:v>
                </c:pt>
                <c:pt idx="33">
                  <c:v>9.7723722095581049</c:v>
                </c:pt>
                <c:pt idx="34">
                  <c:v>10.471285480508991</c:v>
                </c:pt>
                <c:pt idx="35">
                  <c:v>11.220184543019631</c:v>
                </c:pt>
                <c:pt idx="36">
                  <c:v>12.022644346174127</c:v>
                </c:pt>
                <c:pt idx="37">
                  <c:v>12.882495516931341</c:v>
                </c:pt>
                <c:pt idx="38">
                  <c:v>13.803842646028851</c:v>
                </c:pt>
                <c:pt idx="39">
                  <c:v>14.791083881682074</c:v>
                </c:pt>
                <c:pt idx="40">
                  <c:v>15.848931924611136</c:v>
                </c:pt>
                <c:pt idx="41">
                  <c:v>16.982436524617441</c:v>
                </c:pt>
                <c:pt idx="42">
                  <c:v>18.197008586099834</c:v>
                </c:pt>
                <c:pt idx="43">
                  <c:v>19.498445997580447</c:v>
                </c:pt>
                <c:pt idx="44">
                  <c:v>20.892961308540382</c:v>
                </c:pt>
                <c:pt idx="45">
                  <c:v>22.387211385683386</c:v>
                </c:pt>
                <c:pt idx="46">
                  <c:v>23.988329190194897</c:v>
                </c:pt>
                <c:pt idx="47">
                  <c:v>25.703957827688622</c:v>
                </c:pt>
                <c:pt idx="48">
                  <c:v>27.542287033381651</c:v>
                </c:pt>
                <c:pt idx="49">
                  <c:v>29.512092266663849</c:v>
                </c:pt>
                <c:pt idx="50">
                  <c:v>31.622776601683789</c:v>
                </c:pt>
                <c:pt idx="51">
                  <c:v>33.884415613920254</c:v>
                </c:pt>
                <c:pt idx="52">
                  <c:v>36.307805477010106</c:v>
                </c:pt>
                <c:pt idx="53">
                  <c:v>38.904514499428039</c:v>
                </c:pt>
                <c:pt idx="54">
                  <c:v>41.686938347033525</c:v>
                </c:pt>
                <c:pt idx="55">
                  <c:v>44.668359215096302</c:v>
                </c:pt>
                <c:pt idx="56">
                  <c:v>47.863009232263813</c:v>
                </c:pt>
                <c:pt idx="57">
                  <c:v>51.286138399136469</c:v>
                </c:pt>
                <c:pt idx="58">
                  <c:v>54.95408738576247</c:v>
                </c:pt>
                <c:pt idx="59">
                  <c:v>58.884365535558892</c:v>
                </c:pt>
                <c:pt idx="60">
                  <c:v>63.095734448019307</c:v>
                </c:pt>
                <c:pt idx="61">
                  <c:v>67.608297539198134</c:v>
                </c:pt>
                <c:pt idx="62">
                  <c:v>72.443596007499011</c:v>
                </c:pt>
                <c:pt idx="63">
                  <c:v>77.624711662869146</c:v>
                </c:pt>
                <c:pt idx="64">
                  <c:v>83.176377110267055</c:v>
                </c:pt>
                <c:pt idx="65">
                  <c:v>89.125093813374562</c:v>
                </c:pt>
                <c:pt idx="66">
                  <c:v>95.49925860214357</c:v>
                </c:pt>
                <c:pt idx="67">
                  <c:v>102.32929922807544</c:v>
                </c:pt>
                <c:pt idx="68">
                  <c:v>109.64781961431841</c:v>
                </c:pt>
                <c:pt idx="69">
                  <c:v>117.48975549395293</c:v>
                </c:pt>
                <c:pt idx="70">
                  <c:v>125.89254117941665</c:v>
                </c:pt>
                <c:pt idx="71">
                  <c:v>134.89628825916537</c:v>
                </c:pt>
                <c:pt idx="72">
                  <c:v>144.54397707459273</c:v>
                </c:pt>
                <c:pt idx="73">
                  <c:v>154.88166189124806</c:v>
                </c:pt>
                <c:pt idx="74">
                  <c:v>165.95869074375608</c:v>
                </c:pt>
                <c:pt idx="75">
                  <c:v>177.82794100389225</c:v>
                </c:pt>
                <c:pt idx="76">
                  <c:v>190.54607179632481</c:v>
                </c:pt>
                <c:pt idx="77">
                  <c:v>204.17379446695278</c:v>
                </c:pt>
                <c:pt idx="78">
                  <c:v>218.77616239495524</c:v>
                </c:pt>
                <c:pt idx="79">
                  <c:v>234.42288153199212</c:v>
                </c:pt>
                <c:pt idx="80">
                  <c:v>251.18864315095806</c:v>
                </c:pt>
                <c:pt idx="81">
                  <c:v>269.15348039269156</c:v>
                </c:pt>
                <c:pt idx="82">
                  <c:v>288.4031503126605</c:v>
                </c:pt>
                <c:pt idx="83">
                  <c:v>309.02954325135909</c:v>
                </c:pt>
                <c:pt idx="84">
                  <c:v>331.13112148259108</c:v>
                </c:pt>
                <c:pt idx="85">
                  <c:v>354.81338923357566</c:v>
                </c:pt>
                <c:pt idx="86">
                  <c:v>380.18939632056095</c:v>
                </c:pt>
                <c:pt idx="87">
                  <c:v>407.38027780411232</c:v>
                </c:pt>
                <c:pt idx="88">
                  <c:v>436.51583224016542</c:v>
                </c:pt>
                <c:pt idx="89">
                  <c:v>467.73514128719791</c:v>
                </c:pt>
                <c:pt idx="90">
                  <c:v>501.18723362727184</c:v>
                </c:pt>
                <c:pt idx="91">
                  <c:v>537.03179637025255</c:v>
                </c:pt>
                <c:pt idx="92">
                  <c:v>575.43993733715661</c:v>
                </c:pt>
                <c:pt idx="93">
                  <c:v>616.59500186148216</c:v>
                </c:pt>
                <c:pt idx="94">
                  <c:v>660.69344800759518</c:v>
                </c:pt>
                <c:pt idx="95">
                  <c:v>707.94578438413748</c:v>
                </c:pt>
                <c:pt idx="96">
                  <c:v>758.57757502918309</c:v>
                </c:pt>
                <c:pt idx="97">
                  <c:v>812.8305161640983</c:v>
                </c:pt>
                <c:pt idx="98">
                  <c:v>870.96358995608011</c:v>
                </c:pt>
                <c:pt idx="99">
                  <c:v>933.25430079699026</c:v>
                </c:pt>
                <c:pt idx="100">
                  <c:v>999.99999999999977</c:v>
                </c:pt>
                <c:pt idx="101">
                  <c:v>1071.5193052376057</c:v>
                </c:pt>
                <c:pt idx="102">
                  <c:v>1148.1536214968828</c:v>
                </c:pt>
                <c:pt idx="103">
                  <c:v>1230.2687708123801</c:v>
                </c:pt>
                <c:pt idx="104">
                  <c:v>1318.2567385564053</c:v>
                </c:pt>
                <c:pt idx="105">
                  <c:v>1412.5375446227531</c:v>
                </c:pt>
                <c:pt idx="106">
                  <c:v>1513.5612484362066</c:v>
                </c:pt>
                <c:pt idx="107">
                  <c:v>1621.8100973589292</c:v>
                </c:pt>
                <c:pt idx="108">
                  <c:v>1737.8008287493742</c:v>
                </c:pt>
                <c:pt idx="109">
                  <c:v>1862.0871366628671</c:v>
                </c:pt>
                <c:pt idx="110">
                  <c:v>1995.2623149688786</c:v>
                </c:pt>
                <c:pt idx="111">
                  <c:v>2137.9620895022326</c:v>
                </c:pt>
                <c:pt idx="112">
                  <c:v>2290.8676527677708</c:v>
                </c:pt>
                <c:pt idx="113">
                  <c:v>2454.708915685027</c:v>
                </c:pt>
                <c:pt idx="114">
                  <c:v>2630.26799189538</c:v>
                </c:pt>
                <c:pt idx="115">
                  <c:v>2818.3829312644511</c:v>
                </c:pt>
                <c:pt idx="116">
                  <c:v>3019.9517204020176</c:v>
                </c:pt>
                <c:pt idx="117">
                  <c:v>3235.9365692962774</c:v>
                </c:pt>
                <c:pt idx="118">
                  <c:v>3467.368504525316</c:v>
                </c:pt>
                <c:pt idx="119">
                  <c:v>3715.352290971724</c:v>
                </c:pt>
                <c:pt idx="120">
                  <c:v>3981.0717055349701</c:v>
                </c:pt>
                <c:pt idx="121">
                  <c:v>4265.7951880159226</c:v>
                </c:pt>
                <c:pt idx="122">
                  <c:v>4570.881896148745</c:v>
                </c:pt>
                <c:pt idx="123">
                  <c:v>4897.7881936844633</c:v>
                </c:pt>
                <c:pt idx="124">
                  <c:v>5248.0746024977261</c:v>
                </c:pt>
                <c:pt idx="125">
                  <c:v>5623.4132519034893</c:v>
                </c:pt>
                <c:pt idx="126">
                  <c:v>6025.5958607435741</c:v>
                </c:pt>
                <c:pt idx="127">
                  <c:v>6456.5422903465496</c:v>
                </c:pt>
                <c:pt idx="128">
                  <c:v>6918.3097091893569</c:v>
                </c:pt>
                <c:pt idx="129">
                  <c:v>7413.1024130091646</c:v>
                </c:pt>
                <c:pt idx="130">
                  <c:v>7943.2823472428154</c:v>
                </c:pt>
                <c:pt idx="131">
                  <c:v>8511.3803820237626</c:v>
                </c:pt>
                <c:pt idx="132">
                  <c:v>9120.1083935590923</c:v>
                </c:pt>
                <c:pt idx="133">
                  <c:v>9772.3722095580997</c:v>
                </c:pt>
                <c:pt idx="134">
                  <c:v>10471.285480509003</c:v>
                </c:pt>
                <c:pt idx="135">
                  <c:v>11220.184543019639</c:v>
                </c:pt>
                <c:pt idx="136">
                  <c:v>12022.644346174109</c:v>
                </c:pt>
                <c:pt idx="137">
                  <c:v>12882.495516931338</c:v>
                </c:pt>
                <c:pt idx="138">
                  <c:v>13803.842646028841</c:v>
                </c:pt>
                <c:pt idx="139">
                  <c:v>14791.083881682063</c:v>
                </c:pt>
                <c:pt idx="140">
                  <c:v>15848.931924611119</c:v>
                </c:pt>
                <c:pt idx="141">
                  <c:v>16982.436524617453</c:v>
                </c:pt>
                <c:pt idx="142">
                  <c:v>18197.008586099837</c:v>
                </c:pt>
                <c:pt idx="143">
                  <c:v>19498.445997580417</c:v>
                </c:pt>
                <c:pt idx="144">
                  <c:v>20892.961308540387</c:v>
                </c:pt>
                <c:pt idx="145">
                  <c:v>22387.211385683382</c:v>
                </c:pt>
                <c:pt idx="146">
                  <c:v>23988.32919019488</c:v>
                </c:pt>
                <c:pt idx="147">
                  <c:v>25703.957827688606</c:v>
                </c:pt>
                <c:pt idx="148">
                  <c:v>27542.287033381672</c:v>
                </c:pt>
                <c:pt idx="149">
                  <c:v>29512.092266663854</c:v>
                </c:pt>
                <c:pt idx="150">
                  <c:v>31622.776601683781</c:v>
                </c:pt>
                <c:pt idx="151">
                  <c:v>33884.415613920231</c:v>
                </c:pt>
                <c:pt idx="152">
                  <c:v>36307.805477010166</c:v>
                </c:pt>
                <c:pt idx="153">
                  <c:v>38904.514499428085</c:v>
                </c:pt>
                <c:pt idx="154">
                  <c:v>41686.93834703348</c:v>
                </c:pt>
                <c:pt idx="155">
                  <c:v>44668.359215096309</c:v>
                </c:pt>
                <c:pt idx="156">
                  <c:v>47863.009232263823</c:v>
                </c:pt>
                <c:pt idx="157">
                  <c:v>51286.138399136456</c:v>
                </c:pt>
                <c:pt idx="158">
                  <c:v>54954.08738576241</c:v>
                </c:pt>
                <c:pt idx="159">
                  <c:v>58884.365535558936</c:v>
                </c:pt>
                <c:pt idx="160">
                  <c:v>63095.734448019342</c:v>
                </c:pt>
                <c:pt idx="161">
                  <c:v>67608.297539198174</c:v>
                </c:pt>
                <c:pt idx="162">
                  <c:v>72443.596007498985</c:v>
                </c:pt>
                <c:pt idx="163">
                  <c:v>77624.711662869129</c:v>
                </c:pt>
                <c:pt idx="164">
                  <c:v>83176.377110267029</c:v>
                </c:pt>
                <c:pt idx="165">
                  <c:v>89125.093813374449</c:v>
                </c:pt>
                <c:pt idx="166">
                  <c:v>95499.258602143629</c:v>
                </c:pt>
                <c:pt idx="167">
                  <c:v>102329.29922807543</c:v>
                </c:pt>
                <c:pt idx="168">
                  <c:v>109647.81961431848</c:v>
                </c:pt>
                <c:pt idx="169">
                  <c:v>117489.75549395289</c:v>
                </c:pt>
                <c:pt idx="170">
                  <c:v>125892.54117941685</c:v>
                </c:pt>
                <c:pt idx="171">
                  <c:v>134896.28825916522</c:v>
                </c:pt>
                <c:pt idx="172">
                  <c:v>144543.97707459255</c:v>
                </c:pt>
                <c:pt idx="173">
                  <c:v>154881.66189124787</c:v>
                </c:pt>
                <c:pt idx="174">
                  <c:v>165958.69074375575</c:v>
                </c:pt>
                <c:pt idx="175">
                  <c:v>177827.94100389219</c:v>
                </c:pt>
                <c:pt idx="176">
                  <c:v>190546.07179632425</c:v>
                </c:pt>
                <c:pt idx="177">
                  <c:v>204173.79446695274</c:v>
                </c:pt>
                <c:pt idx="178">
                  <c:v>218776.16239495497</c:v>
                </c:pt>
                <c:pt idx="179">
                  <c:v>234422.88153199226</c:v>
                </c:pt>
                <c:pt idx="180">
                  <c:v>251188.64315095753</c:v>
                </c:pt>
                <c:pt idx="181">
                  <c:v>269153.48039269098</c:v>
                </c:pt>
                <c:pt idx="182">
                  <c:v>288403.15031266044</c:v>
                </c:pt>
                <c:pt idx="183">
                  <c:v>309029.54325135821</c:v>
                </c:pt>
                <c:pt idx="184">
                  <c:v>331131.12148259068</c:v>
                </c:pt>
                <c:pt idx="185">
                  <c:v>354813.38923357491</c:v>
                </c:pt>
                <c:pt idx="186">
                  <c:v>380189.39632056118</c:v>
                </c:pt>
                <c:pt idx="187">
                  <c:v>407380.27780411189</c:v>
                </c:pt>
                <c:pt idx="188">
                  <c:v>436515.83224016492</c:v>
                </c:pt>
                <c:pt idx="189">
                  <c:v>467735.14128719777</c:v>
                </c:pt>
                <c:pt idx="190">
                  <c:v>501187.23362727172</c:v>
                </c:pt>
                <c:pt idx="191">
                  <c:v>537031.79637025192</c:v>
                </c:pt>
                <c:pt idx="192">
                  <c:v>575439.93733715592</c:v>
                </c:pt>
                <c:pt idx="193">
                  <c:v>616595.00186148204</c:v>
                </c:pt>
                <c:pt idx="194">
                  <c:v>660693.44800759444</c:v>
                </c:pt>
                <c:pt idx="195">
                  <c:v>707945.78438413737</c:v>
                </c:pt>
                <c:pt idx="196">
                  <c:v>758577.57502918295</c:v>
                </c:pt>
                <c:pt idx="197">
                  <c:v>812830.51616409956</c:v>
                </c:pt>
                <c:pt idx="198">
                  <c:v>870963.58995607914</c:v>
                </c:pt>
              </c:numCache>
            </c:numRef>
          </c:xVal>
          <c:yVal>
            <c:numRef>
              <c:f>'9. Loop Compensation'!$AR$2:$AR$200</c:f>
              <c:numCache>
                <c:formatCode>General</c:formatCode>
                <c:ptCount val="199"/>
                <c:pt idx="0">
                  <c:v>51.724499147917477</c:v>
                </c:pt>
                <c:pt idx="1">
                  <c:v>51.713806463448897</c:v>
                </c:pt>
                <c:pt idx="2">
                  <c:v>51.701562016287866</c:v>
                </c:pt>
                <c:pt idx="3">
                  <c:v>51.687545976147916</c:v>
                </c:pt>
                <c:pt idx="4">
                  <c:v>51.671509027833729</c:v>
                </c:pt>
                <c:pt idx="5">
                  <c:v>51.653168924725783</c:v>
                </c:pt>
                <c:pt idx="6">
                  <c:v>51.632206796070442</c:v>
                </c:pt>
                <c:pt idx="7">
                  <c:v>51.608263242064382</c:v>
                </c:pt>
                <c:pt idx="8">
                  <c:v>51.580934271955783</c:v>
                </c:pt>
                <c:pt idx="9">
                  <c:v>51.549767167251936</c:v>
                </c:pt>
                <c:pt idx="10">
                  <c:v>51.514256385221557</c:v>
                </c:pt>
                <c:pt idx="11">
                  <c:v>51.473839657496029</c:v>
                </c:pt>
                <c:pt idx="12">
                  <c:v>51.427894484448878</c:v>
                </c:pt>
                <c:pt idx="13">
                  <c:v>51.375735277073254</c:v>
                </c:pt>
                <c:pt idx="14">
                  <c:v>51.316611451996444</c:v>
                </c:pt>
                <c:pt idx="15">
                  <c:v>51.249706838197497</c:v>
                </c:pt>
                <c:pt idx="16">
                  <c:v>51.174140800126807</c:v>
                </c:pt>
                <c:pt idx="17">
                  <c:v>51.088971513313538</c:v>
                </c:pt>
                <c:pt idx="18">
                  <c:v>50.993201835155588</c:v>
                </c:pt>
                <c:pt idx="19">
                  <c:v>50.885788183851034</c:v>
                </c:pt>
                <c:pt idx="20">
                  <c:v>50.765652760461521</c:v>
                </c:pt>
                <c:pt idx="21">
                  <c:v>50.631699312695766</c:v>
                </c:pt>
                <c:pt idx="22">
                  <c:v>50.482832438438265</c:v>
                </c:pt>
                <c:pt idx="23">
                  <c:v>50.317980164347212</c:v>
                </c:pt>
                <c:pt idx="24">
                  <c:v>50.136119222924506</c:v>
                </c:pt>
                <c:pt idx="25">
                  <c:v>49.936302116138904</c:v>
                </c:pt>
                <c:pt idx="26">
                  <c:v>49.717684733428641</c:v>
                </c:pt>
                <c:pt idx="27">
                  <c:v>49.479553034301702</c:v>
                </c:pt>
                <c:pt idx="28">
                  <c:v>49.221347160355577</c:v>
                </c:pt>
                <c:pt idx="29">
                  <c:v>48.942681349963394</c:v>
                </c:pt>
                <c:pt idx="30">
                  <c:v>48.643358214085083</c:v>
                </c:pt>
                <c:pt idx="31">
                  <c:v>48.323376289580217</c:v>
                </c:pt>
                <c:pt idx="32">
                  <c:v>47.982930282718911</c:v>
                </c:pt>
                <c:pt idx="33">
                  <c:v>47.622403989793426</c:v>
                </c:pt>
                <c:pt idx="34">
                  <c:v>47.242356457872241</c:v>
                </c:pt>
                <c:pt idx="35">
                  <c:v>46.843502450483243</c:v>
                </c:pt>
                <c:pt idx="36">
                  <c:v>46.426688648792023</c:v>
                </c:pt>
                <c:pt idx="37">
                  <c:v>45.992867212934208</c:v>
                </c:pt>
                <c:pt idx="38">
                  <c:v>45.543068345035287</c:v>
                </c:pt>
                <c:pt idx="39">
                  <c:v>45.078373356927997</c:v>
                </c:pt>
                <c:pt idx="40">
                  <c:v>44.599889492599154</c:v>
                </c:pt>
                <c:pt idx="41">
                  <c:v>44.108727437402763</c:v>
                </c:pt>
                <c:pt idx="42">
                  <c:v>43.605982110925453</c:v>
                </c:pt>
                <c:pt idx="43">
                  <c:v>43.09271702711672</c:v>
                </c:pt>
                <c:pt idx="44">
                  <c:v>42.569952240368451</c:v>
                </c:pt>
                <c:pt idx="45">
                  <c:v>42.038655693153686</c:v>
                </c:pt>
                <c:pt idx="46">
                  <c:v>41.499737642112137</c:v>
                </c:pt>
                <c:pt idx="47">
                  <c:v>40.954047759665016</c:v>
                </c:pt>
                <c:pt idx="48">
                  <c:v>40.402374477305557</c:v>
                </c:pt>
                <c:pt idx="49">
                  <c:v>39.845446142782819</c:v>
                </c:pt>
                <c:pt idx="50">
                  <c:v>39.283933594851106</c:v>
                </c:pt>
                <c:pt idx="51">
                  <c:v>38.718453805956813</c:v>
                </c:pt>
                <c:pt idx="52">
                  <c:v>38.149574297111911</c:v>
                </c:pt>
                <c:pt idx="53">
                  <c:v>37.577818084307886</c:v>
                </c:pt>
                <c:pt idx="54">
                  <c:v>37.003668968168654</c:v>
                </c:pt>
                <c:pt idx="55">
                  <c:v>36.427577025698021</c:v>
                </c:pt>
                <c:pt idx="56">
                  <c:v>35.849964203715096</c:v>
                </c:pt>
                <c:pt idx="57">
                  <c:v>35.271229947478837</c:v>
                </c:pt>
                <c:pt idx="58">
                  <c:v>34.691756825185493</c:v>
                </c:pt>
                <c:pt idx="59">
                  <c:v>34.111916129850599</c:v>
                </c:pt>
                <c:pt idx="60">
                  <c:v>33.532073455036915</c:v>
                </c:pt>
                <c:pt idx="61">
                  <c:v>32.952594250389986</c:v>
                </c:pt>
                <c:pt idx="62">
                  <c:v>32.373849367329925</c:v>
                </c:pt>
                <c:pt idx="63">
                  <c:v>31.796220604677607</c:v>
                </c:pt>
                <c:pt idx="64">
                  <c:v>31.220106258453598</c:v>
                </c:pt>
                <c:pt idx="65">
                  <c:v>30.645926669381765</c:v>
                </c:pt>
                <c:pt idx="66">
                  <c:v>30.074129745396185</c:v>
                </c:pt>
                <c:pt idx="67">
                  <c:v>29.505196414247671</c:v>
                </c:pt>
                <c:pt idx="68">
                  <c:v>28.939645932646947</c:v>
                </c:pt>
                <c:pt idx="69">
                  <c:v>28.378040942928404</c:v>
                </c:pt>
                <c:pt idx="70">
                  <c:v>27.820992125907228</c:v>
                </c:pt>
                <c:pt idx="71">
                  <c:v>27.269162249952835</c:v>
                </c:pt>
                <c:pt idx="72">
                  <c:v>26.723269362682519</c:v>
                </c:pt>
                <c:pt idx="73">
                  <c:v>26.184088815730654</c:v>
                </c:pt>
                <c:pt idx="74">
                  <c:v>25.652453759024731</c:v>
                </c:pt>
                <c:pt idx="75">
                  <c:v>25.1292536951598</c:v>
                </c:pt>
                <c:pt idx="76">
                  <c:v>24.615430655193315</c:v>
                </c:pt>
                <c:pt idx="77">
                  <c:v>24.111972554912008</c:v>
                </c:pt>
                <c:pt idx="78">
                  <c:v>23.619903327094786</c:v>
                </c:pt>
                <c:pt idx="79">
                  <c:v>23.140269512277214</c:v>
                </c:pt>
                <c:pt idx="80">
                  <c:v>22.674123137569797</c:v>
                </c:pt>
                <c:pt idx="81">
                  <c:v>22.222500924682748</c:v>
                </c:pt>
                <c:pt idx="82">
                  <c:v>21.786400140520279</c:v>
                </c:pt>
                <c:pt idx="83">
                  <c:v>21.366751721213532</c:v>
                </c:pt>
                <c:pt idx="84">
                  <c:v>20.964391634877764</c:v>
                </c:pt>
                <c:pt idx="85">
                  <c:v>20.580031759131018</c:v>
                </c:pt>
                <c:pt idx="86">
                  <c:v>20.214231788010348</c:v>
                </c:pt>
                <c:pt idx="87">
                  <c:v>19.867373800714905</c:v>
                </c:pt>
                <c:pt idx="88">
                  <c:v>19.539641083156841</c:v>
                </c:pt>
                <c:pt idx="89">
                  <c:v>19.231002574815513</c:v>
                </c:pt>
                <c:pt idx="90">
                  <c:v>18.941203928363333</c:v>
                </c:pt>
                <c:pt idx="91">
                  <c:v>18.669765658549679</c:v>
                </c:pt>
                <c:pt idx="92">
                  <c:v>18.415988285137917</c:v>
                </c:pt>
                <c:pt idx="93">
                  <c:v>18.17896382026834</c:v>
                </c:pt>
                <c:pt idx="94">
                  <c:v>17.957592488738769</c:v>
                </c:pt>
                <c:pt idx="95">
                  <c:v>17.750603258245967</c:v>
                </c:pt>
                <c:pt idx="96">
                  <c:v>17.556576626147141</c:v>
                </c:pt>
                <c:pt idx="97">
                  <c:v>17.373968160001215</c:v>
                </c:pt>
                <c:pt idx="98">
                  <c:v>17.201131494844546</c:v>
                </c:pt>
                <c:pt idx="99">
                  <c:v>17.036339807006197</c:v>
                </c:pt>
                <c:pt idx="100">
                  <c:v>16.877805161203625</c:v>
                </c:pt>
                <c:pt idx="101">
                  <c:v>16.723695515652594</c:v>
                </c:pt>
                <c:pt idx="102">
                  <c:v>16.572149528202825</c:v>
                </c:pt>
                <c:pt idx="103">
                  <c:v>16.421289605202162</c:v>
                </c:pt>
                <c:pt idx="104">
                  <c:v>16.269233854589189</c:v>
                </c:pt>
                <c:pt idx="105">
                  <c:v>16.114107734726552</c:v>
                </c:pt>
                <c:pt idx="106">
                  <c:v>15.954056225637547</c:v>
                </c:pt>
                <c:pt idx="107">
                  <c:v>15.787257288404373</c:v>
                </c:pt>
                <c:pt idx="108">
                  <c:v>15.611937223643533</c:v>
                </c:pt>
                <c:pt idx="109">
                  <c:v>15.426388297589908</c:v>
                </c:pt>
                <c:pt idx="110">
                  <c:v>15.228988687292969</c:v>
                </c:pt>
                <c:pt idx="111">
                  <c:v>15.018224426732827</c:v>
                </c:pt>
                <c:pt idx="112">
                  <c:v>14.792712646174092</c:v>
                </c:pt>
                <c:pt idx="113">
                  <c:v>14.551225031178852</c:v>
                </c:pt>
                <c:pt idx="114">
                  <c:v>14.292710135739217</c:v>
                </c:pt>
                <c:pt idx="115">
                  <c:v>14.016313016079939</c:v>
                </c:pt>
                <c:pt idx="116">
                  <c:v>13.721390647951072</c:v>
                </c:pt>
                <c:pt idx="117">
                  <c:v>13.407521770477546</c:v>
                </c:pt>
                <c:pt idx="118">
                  <c:v>13.074510155624402</c:v>
                </c:pt>
                <c:pt idx="119">
                  <c:v>12.722380795603955</c:v>
                </c:pt>
                <c:pt idx="120">
                  <c:v>12.351369067285313</c:v>
                </c:pt>
                <c:pt idx="121">
                  <c:v>11.961903495334825</c:v>
                </c:pt>
                <c:pt idx="122">
                  <c:v>11.554583218398971</c:v>
                </c:pt>
                <c:pt idx="123">
                  <c:v>11.13015160557503</c:v>
                </c:pt>
                <c:pt idx="124">
                  <c:v>10.689467640971444</c:v>
                </c:pt>
                <c:pt idx="125">
                  <c:v>10.233476689879829</c:v>
                </c:pt>
                <c:pt idx="126">
                  <c:v>9.7631821052355701</c:v>
                </c:pt>
                <c:pt idx="127">
                  <c:v>9.2796188698818334</c:v>
                </c:pt>
                <c:pt idx="128">
                  <c:v>8.7838301482120684</c:v>
                </c:pt>
                <c:pt idx="129">
                  <c:v>8.2768472870414218</c:v>
                </c:pt>
                <c:pt idx="130">
                  <c:v>7.7596734976225008</c:v>
                </c:pt>
                <c:pt idx="131">
                  <c:v>7.2332711933865523</c:v>
                </c:pt>
                <c:pt idx="132">
                  <c:v>6.6985527633112891</c:v>
                </c:pt>
                <c:pt idx="133">
                  <c:v>6.1563744301177445</c:v>
                </c:pt>
                <c:pt idx="134">
                  <c:v>5.6075327696360322</c:v>
                </c:pt>
                <c:pt idx="135">
                  <c:v>5.0527634422309644</c:v>
                </c:pt>
                <c:pt idx="136">
                  <c:v>4.4927416972317094</c:v>
                </c:pt>
                <c:pt idx="137">
                  <c:v>3.9280842453646629</c:v>
                </c:pt>
                <c:pt idx="138">
                  <c:v>3.3593521423478268</c:v>
                </c:pt>
                <c:pt idx="139">
                  <c:v>2.7870543812944892</c:v>
                </c:pt>
                <c:pt idx="140">
                  <c:v>2.2116519467110889</c:v>
                </c:pt>
                <c:pt idx="141">
                  <c:v>1.6335621349501894</c:v>
                </c:pt>
                <c:pt idx="142">
                  <c:v>1.0531629927887589</c:v>
                </c:pt>
                <c:pt idx="143">
                  <c:v>0.4707977663360744</c:v>
                </c:pt>
                <c:pt idx="144">
                  <c:v>-0.11322071347213375</c:v>
                </c:pt>
                <c:pt idx="145">
                  <c:v>-0.69860575465746177</c:v>
                </c:pt>
                <c:pt idx="146">
                  <c:v>-1.28509266080606</c:v>
                </c:pt>
                <c:pt idx="147">
                  <c:v>-1.8724347265525529</c:v>
                </c:pt>
                <c:pt idx="148">
                  <c:v>-2.460399364576157</c:v>
                </c:pt>
                <c:pt idx="149">
                  <c:v>-3.0487643466850729</c:v>
                </c:pt>
                <c:pt idx="150">
                  <c:v>-3.6373141342645043</c:v>
                </c:pt>
                <c:pt idx="151">
                  <c:v>-4.2258362683127029</c:v>
                </c:pt>
                <c:pt idx="152">
                  <c:v>-4.814117786117043</c:v>
                </c:pt>
                <c:pt idx="153">
                  <c:v>-5.4019416300780501</c:v>
                </c:pt>
                <c:pt idx="154">
                  <c:v>-5.9890830141547529</c:v>
                </c:pt>
                <c:pt idx="155">
                  <c:v>-6.575305714878712</c:v>
                </c:pt>
                <c:pt idx="156">
                  <c:v>-7.1603582570025361</c:v>
                </c:pt>
                <c:pt idx="157">
                  <c:v>-7.74396996886985</c:v>
                </c:pt>
                <c:pt idx="158">
                  <c:v>-8.325846889893679</c:v>
                </c:pt>
                <c:pt idx="159">
                  <c:v>-8.9056675226278834</c:v>
                </c:pt>
                <c:pt idx="160">
                  <c:v>-9.4830784354235682</c:v>
                </c:pt>
                <c:pt idx="161">
                  <c:v>-10.057689739286516</c:v>
                </c:pt>
                <c:pt idx="162">
                  <c:v>-10.629070485048956</c:v>
                </c:pt>
                <c:pt idx="163">
                  <c:v>-11.196744055065025</c:v>
                </c:pt>
                <c:pt idx="164">
                  <c:v>-11.760183657905117</c:v>
                </c:pt>
                <c:pt idx="165">
                  <c:v>-12.318808075233612</c:v>
                </c:pt>
                <c:pt idx="166">
                  <c:v>-12.871977856922939</c:v>
                </c:pt>
                <c:pt idx="167">
                  <c:v>-13.418992212355679</c:v>
                </c:pt>
                <c:pt idx="168">
                  <c:v>-13.95908690046204</c:v>
                </c:pt>
                <c:pt idx="169">
                  <c:v>-14.491433474410018</c:v>
                </c:pt>
                <c:pt idx="170">
                  <c:v>-15.015140283131236</c:v>
                </c:pt>
                <c:pt idx="171">
                  <c:v>-15.529255663014448</c:v>
                </c:pt>
                <c:pt idx="172">
                  <c:v>-16.032773759025815</c:v>
                </c:pt>
                <c:pt idx="173">
                  <c:v>-16.524643383635599</c:v>
                </c:pt>
                <c:pt idx="174">
                  <c:v>-17.003780242370819</c:v>
                </c:pt>
                <c:pt idx="175">
                  <c:v>-17.469082716485151</c:v>
                </c:pt>
                <c:pt idx="176">
                  <c:v>-17.91945119063228</c:v>
                </c:pt>
                <c:pt idx="177">
                  <c:v>-18.353810648899028</c:v>
                </c:pt>
                <c:pt idx="178">
                  <c:v>-18.771135949453406</c:v>
                </c:pt>
                <c:pt idx="179">
                  <c:v>-19.17047885266264</c:v>
                </c:pt>
                <c:pt idx="180">
                  <c:v>-19.550995558721226</c:v>
                </c:pt>
                <c:pt idx="181">
                  <c:v>-19.911973256367698</c:v>
                </c:pt>
                <c:pt idx="182">
                  <c:v>-20.252854043654125</c:v>
                </c:pt>
                <c:pt idx="183">
                  <c:v>-20.573254596075042</c:v>
                </c:pt>
                <c:pt idx="184">
                  <c:v>-20.872980148824858</c:v>
                </c:pt>
                <c:pt idx="185">
                  <c:v>-21.152031723401976</c:v>
                </c:pt>
                <c:pt idx="186">
                  <c:v>-21.410606028890022</c:v>
                </c:pt>
                <c:pt idx="187">
                  <c:v>-21.64908804375241</c:v>
                </c:pt>
                <c:pt idx="188">
                  <c:v>-21.868036858634596</c:v>
                </c:pt>
                <c:pt idx="189">
                  <c:v>-22.068165858433716</c:v>
                </c:pt>
                <c:pt idx="190">
                  <c:v>-22.250318681926036</c:v>
                </c:pt>
                <c:pt idx="191">
                  <c:v>-22.415442584857239</c:v>
                </c:pt>
                <c:pt idx="192">
                  <c:v>-22.564560843086724</c:v>
                </c:pt>
                <c:pt idx="193">
                  <c:v>-22.698745688786758</c:v>
                </c:pt>
                <c:pt idx="194">
                  <c:v>-22.819093016256616</c:v>
                </c:pt>
                <c:pt idx="195">
                  <c:v>-22.926699774136846</c:v>
                </c:pt>
                <c:pt idx="196">
                  <c:v>-23.022644625374568</c:v>
                </c:pt>
                <c:pt idx="197">
                  <c:v>-23.10797214381202</c:v>
                </c:pt>
                <c:pt idx="198">
                  <c:v>-23.183680552752726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B3-4D86-8D71-26C139FD4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11352"/>
        <c:axId val="173614488"/>
      </c:scatterChart>
      <c:valAx>
        <c:axId val="173611352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614488"/>
        <c:crosses val="autoZero"/>
        <c:crossBetween val="midCat"/>
      </c:valAx>
      <c:valAx>
        <c:axId val="173614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611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Phase of Vloop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'9. Loop Compensation'!$AT$1</c:f>
              <c:strCache>
                <c:ptCount val="1"/>
                <c:pt idx="0">
                  <c:v>°</c:v>
                </c:pt>
              </c:strCache>
            </c:strRef>
          </c:tx>
          <c:marker>
            <c:symbol val="none"/>
          </c:marker>
          <c:xVal>
            <c:numRef>
              <c:f>'9. Loop Compensation'!$Z$2:$Z$201</c:f>
              <c:numCache>
                <c:formatCode>General</c:formatCode>
                <c:ptCount val="200"/>
                <c:pt idx="0">
                  <c:v>1</c:v>
                </c:pt>
                <c:pt idx="1">
                  <c:v>1.0715193052376064</c:v>
                </c:pt>
                <c:pt idx="2">
                  <c:v>1.1481536214968828</c:v>
                </c:pt>
                <c:pt idx="3">
                  <c:v>1.2302687708123814</c:v>
                </c:pt>
                <c:pt idx="4">
                  <c:v>1.318256738556407</c:v>
                </c:pt>
                <c:pt idx="5">
                  <c:v>1.4125375446227544</c:v>
                </c:pt>
                <c:pt idx="6">
                  <c:v>1.513561248436208</c:v>
                </c:pt>
                <c:pt idx="7">
                  <c:v>1.6218100973589298</c:v>
                </c:pt>
                <c:pt idx="8">
                  <c:v>1.7378008287493754</c:v>
                </c:pt>
                <c:pt idx="9">
                  <c:v>1.8620871366628673</c:v>
                </c:pt>
                <c:pt idx="10">
                  <c:v>1.9952623149688797</c:v>
                </c:pt>
                <c:pt idx="11">
                  <c:v>2.1379620895022318</c:v>
                </c:pt>
                <c:pt idx="12">
                  <c:v>2.2908676527677727</c:v>
                </c:pt>
                <c:pt idx="13">
                  <c:v>2.4547089156850301</c:v>
                </c:pt>
                <c:pt idx="14">
                  <c:v>2.6302679918953817</c:v>
                </c:pt>
                <c:pt idx="15">
                  <c:v>2.8183829312644537</c:v>
                </c:pt>
                <c:pt idx="16">
                  <c:v>3.0199517204020156</c:v>
                </c:pt>
                <c:pt idx="17">
                  <c:v>3.2359365692962818</c:v>
                </c:pt>
                <c:pt idx="18">
                  <c:v>3.4673685045253162</c:v>
                </c:pt>
                <c:pt idx="19">
                  <c:v>3.7153522909717256</c:v>
                </c:pt>
                <c:pt idx="20">
                  <c:v>3.9810717055349727</c:v>
                </c:pt>
                <c:pt idx="21">
                  <c:v>4.2657951880159262</c:v>
                </c:pt>
                <c:pt idx="22">
                  <c:v>4.570881896148749</c:v>
                </c:pt>
                <c:pt idx="23">
                  <c:v>4.8977881936844616</c:v>
                </c:pt>
                <c:pt idx="24">
                  <c:v>5.2480746024977245</c:v>
                </c:pt>
                <c:pt idx="25">
                  <c:v>5.6234132519034903</c:v>
                </c:pt>
                <c:pt idx="26">
                  <c:v>6.0255958607435751</c:v>
                </c:pt>
                <c:pt idx="27">
                  <c:v>6.4565422903465537</c:v>
                </c:pt>
                <c:pt idx="28">
                  <c:v>6.9183097091893631</c:v>
                </c:pt>
                <c:pt idx="29">
                  <c:v>7.4131024130091765</c:v>
                </c:pt>
                <c:pt idx="30">
                  <c:v>7.943282347242814</c:v>
                </c:pt>
                <c:pt idx="31">
                  <c:v>8.5113803820237646</c:v>
                </c:pt>
                <c:pt idx="32">
                  <c:v>9.1201083935590948</c:v>
                </c:pt>
                <c:pt idx="33">
                  <c:v>9.7723722095581049</c:v>
                </c:pt>
                <c:pt idx="34">
                  <c:v>10.471285480508991</c:v>
                </c:pt>
                <c:pt idx="35">
                  <c:v>11.220184543019631</c:v>
                </c:pt>
                <c:pt idx="36">
                  <c:v>12.022644346174127</c:v>
                </c:pt>
                <c:pt idx="37">
                  <c:v>12.882495516931341</c:v>
                </c:pt>
                <c:pt idx="38">
                  <c:v>13.803842646028851</c:v>
                </c:pt>
                <c:pt idx="39">
                  <c:v>14.791083881682074</c:v>
                </c:pt>
                <c:pt idx="40">
                  <c:v>15.848931924611136</c:v>
                </c:pt>
                <c:pt idx="41">
                  <c:v>16.982436524617441</c:v>
                </c:pt>
                <c:pt idx="42">
                  <c:v>18.197008586099834</c:v>
                </c:pt>
                <c:pt idx="43">
                  <c:v>19.498445997580447</c:v>
                </c:pt>
                <c:pt idx="44">
                  <c:v>20.892961308540382</c:v>
                </c:pt>
                <c:pt idx="45">
                  <c:v>22.387211385683386</c:v>
                </c:pt>
                <c:pt idx="46">
                  <c:v>23.988329190194897</c:v>
                </c:pt>
                <c:pt idx="47">
                  <c:v>25.703957827688622</c:v>
                </c:pt>
                <c:pt idx="48">
                  <c:v>27.542287033381651</c:v>
                </c:pt>
                <c:pt idx="49">
                  <c:v>29.512092266663849</c:v>
                </c:pt>
                <c:pt idx="50">
                  <c:v>31.622776601683789</c:v>
                </c:pt>
                <c:pt idx="51">
                  <c:v>33.884415613920254</c:v>
                </c:pt>
                <c:pt idx="52">
                  <c:v>36.307805477010106</c:v>
                </c:pt>
                <c:pt idx="53">
                  <c:v>38.904514499428039</c:v>
                </c:pt>
                <c:pt idx="54">
                  <c:v>41.686938347033525</c:v>
                </c:pt>
                <c:pt idx="55">
                  <c:v>44.668359215096302</c:v>
                </c:pt>
                <c:pt idx="56">
                  <c:v>47.863009232263813</c:v>
                </c:pt>
                <c:pt idx="57">
                  <c:v>51.286138399136469</c:v>
                </c:pt>
                <c:pt idx="58">
                  <c:v>54.95408738576247</c:v>
                </c:pt>
                <c:pt idx="59">
                  <c:v>58.884365535558892</c:v>
                </c:pt>
                <c:pt idx="60">
                  <c:v>63.095734448019307</c:v>
                </c:pt>
                <c:pt idx="61">
                  <c:v>67.608297539198134</c:v>
                </c:pt>
                <c:pt idx="62">
                  <c:v>72.443596007499011</c:v>
                </c:pt>
                <c:pt idx="63">
                  <c:v>77.624711662869146</c:v>
                </c:pt>
                <c:pt idx="64">
                  <c:v>83.176377110267055</c:v>
                </c:pt>
                <c:pt idx="65">
                  <c:v>89.125093813374562</c:v>
                </c:pt>
                <c:pt idx="66">
                  <c:v>95.49925860214357</c:v>
                </c:pt>
                <c:pt idx="67">
                  <c:v>102.32929922807544</c:v>
                </c:pt>
                <c:pt idx="68">
                  <c:v>109.64781961431841</c:v>
                </c:pt>
                <c:pt idx="69">
                  <c:v>117.48975549395293</c:v>
                </c:pt>
                <c:pt idx="70">
                  <c:v>125.89254117941665</c:v>
                </c:pt>
                <c:pt idx="71">
                  <c:v>134.89628825916537</c:v>
                </c:pt>
                <c:pt idx="72">
                  <c:v>144.54397707459273</c:v>
                </c:pt>
                <c:pt idx="73">
                  <c:v>154.88166189124806</c:v>
                </c:pt>
                <c:pt idx="74">
                  <c:v>165.95869074375608</c:v>
                </c:pt>
                <c:pt idx="75">
                  <c:v>177.82794100389225</c:v>
                </c:pt>
                <c:pt idx="76">
                  <c:v>190.54607179632481</c:v>
                </c:pt>
                <c:pt idx="77">
                  <c:v>204.17379446695278</c:v>
                </c:pt>
                <c:pt idx="78">
                  <c:v>218.77616239495524</c:v>
                </c:pt>
                <c:pt idx="79">
                  <c:v>234.42288153199212</c:v>
                </c:pt>
                <c:pt idx="80">
                  <c:v>251.18864315095806</c:v>
                </c:pt>
                <c:pt idx="81">
                  <c:v>269.15348039269156</c:v>
                </c:pt>
                <c:pt idx="82">
                  <c:v>288.4031503126605</c:v>
                </c:pt>
                <c:pt idx="83">
                  <c:v>309.02954325135909</c:v>
                </c:pt>
                <c:pt idx="84">
                  <c:v>331.13112148259108</c:v>
                </c:pt>
                <c:pt idx="85">
                  <c:v>354.81338923357566</c:v>
                </c:pt>
                <c:pt idx="86">
                  <c:v>380.18939632056095</c:v>
                </c:pt>
                <c:pt idx="87">
                  <c:v>407.38027780411232</c:v>
                </c:pt>
                <c:pt idx="88">
                  <c:v>436.51583224016542</c:v>
                </c:pt>
                <c:pt idx="89">
                  <c:v>467.73514128719791</c:v>
                </c:pt>
                <c:pt idx="90">
                  <c:v>501.18723362727184</c:v>
                </c:pt>
                <c:pt idx="91">
                  <c:v>537.03179637025255</c:v>
                </c:pt>
                <c:pt idx="92">
                  <c:v>575.43993733715661</c:v>
                </c:pt>
                <c:pt idx="93">
                  <c:v>616.59500186148216</c:v>
                </c:pt>
                <c:pt idx="94">
                  <c:v>660.69344800759518</c:v>
                </c:pt>
                <c:pt idx="95">
                  <c:v>707.94578438413748</c:v>
                </c:pt>
                <c:pt idx="96">
                  <c:v>758.57757502918309</c:v>
                </c:pt>
                <c:pt idx="97">
                  <c:v>812.8305161640983</c:v>
                </c:pt>
                <c:pt idx="98">
                  <c:v>870.96358995608011</c:v>
                </c:pt>
                <c:pt idx="99">
                  <c:v>933.25430079699026</c:v>
                </c:pt>
                <c:pt idx="100">
                  <c:v>999.99999999999977</c:v>
                </c:pt>
                <c:pt idx="101">
                  <c:v>1071.5193052376057</c:v>
                </c:pt>
                <c:pt idx="102">
                  <c:v>1148.1536214968828</c:v>
                </c:pt>
                <c:pt idx="103">
                  <c:v>1230.2687708123801</c:v>
                </c:pt>
                <c:pt idx="104">
                  <c:v>1318.2567385564053</c:v>
                </c:pt>
                <c:pt idx="105">
                  <c:v>1412.5375446227531</c:v>
                </c:pt>
                <c:pt idx="106">
                  <c:v>1513.5612484362066</c:v>
                </c:pt>
                <c:pt idx="107">
                  <c:v>1621.8100973589292</c:v>
                </c:pt>
                <c:pt idx="108">
                  <c:v>1737.8008287493742</c:v>
                </c:pt>
                <c:pt idx="109">
                  <c:v>1862.0871366628671</c:v>
                </c:pt>
                <c:pt idx="110">
                  <c:v>1995.2623149688786</c:v>
                </c:pt>
                <c:pt idx="111">
                  <c:v>2137.9620895022326</c:v>
                </c:pt>
                <c:pt idx="112">
                  <c:v>2290.8676527677708</c:v>
                </c:pt>
                <c:pt idx="113">
                  <c:v>2454.708915685027</c:v>
                </c:pt>
                <c:pt idx="114">
                  <c:v>2630.26799189538</c:v>
                </c:pt>
                <c:pt idx="115">
                  <c:v>2818.3829312644511</c:v>
                </c:pt>
                <c:pt idx="116">
                  <c:v>3019.9517204020176</c:v>
                </c:pt>
                <c:pt idx="117">
                  <c:v>3235.9365692962774</c:v>
                </c:pt>
                <c:pt idx="118">
                  <c:v>3467.368504525316</c:v>
                </c:pt>
                <c:pt idx="119">
                  <c:v>3715.352290971724</c:v>
                </c:pt>
                <c:pt idx="120">
                  <c:v>3981.0717055349701</c:v>
                </c:pt>
                <c:pt idx="121">
                  <c:v>4265.7951880159226</c:v>
                </c:pt>
                <c:pt idx="122">
                  <c:v>4570.881896148745</c:v>
                </c:pt>
                <c:pt idx="123">
                  <c:v>4897.7881936844633</c:v>
                </c:pt>
                <c:pt idx="124">
                  <c:v>5248.0746024977261</c:v>
                </c:pt>
                <c:pt idx="125">
                  <c:v>5623.4132519034893</c:v>
                </c:pt>
                <c:pt idx="126">
                  <c:v>6025.5958607435741</c:v>
                </c:pt>
                <c:pt idx="127">
                  <c:v>6456.5422903465496</c:v>
                </c:pt>
                <c:pt idx="128">
                  <c:v>6918.3097091893569</c:v>
                </c:pt>
                <c:pt idx="129">
                  <c:v>7413.1024130091646</c:v>
                </c:pt>
                <c:pt idx="130">
                  <c:v>7943.2823472428154</c:v>
                </c:pt>
                <c:pt idx="131">
                  <c:v>8511.3803820237626</c:v>
                </c:pt>
                <c:pt idx="132">
                  <c:v>9120.1083935590923</c:v>
                </c:pt>
                <c:pt idx="133">
                  <c:v>9772.3722095580997</c:v>
                </c:pt>
                <c:pt idx="134">
                  <c:v>10471.285480509003</c:v>
                </c:pt>
                <c:pt idx="135">
                  <c:v>11220.184543019639</c:v>
                </c:pt>
                <c:pt idx="136">
                  <c:v>12022.644346174109</c:v>
                </c:pt>
                <c:pt idx="137">
                  <c:v>12882.495516931338</c:v>
                </c:pt>
                <c:pt idx="138">
                  <c:v>13803.842646028841</c:v>
                </c:pt>
                <c:pt idx="139">
                  <c:v>14791.083881682063</c:v>
                </c:pt>
                <c:pt idx="140">
                  <c:v>15848.931924611119</c:v>
                </c:pt>
                <c:pt idx="141">
                  <c:v>16982.436524617453</c:v>
                </c:pt>
                <c:pt idx="142">
                  <c:v>18197.008586099837</c:v>
                </c:pt>
                <c:pt idx="143">
                  <c:v>19498.445997580417</c:v>
                </c:pt>
                <c:pt idx="144">
                  <c:v>20892.961308540387</c:v>
                </c:pt>
                <c:pt idx="145">
                  <c:v>22387.211385683382</c:v>
                </c:pt>
                <c:pt idx="146">
                  <c:v>23988.32919019488</c:v>
                </c:pt>
                <c:pt idx="147">
                  <c:v>25703.957827688606</c:v>
                </c:pt>
                <c:pt idx="148">
                  <c:v>27542.287033381672</c:v>
                </c:pt>
                <c:pt idx="149">
                  <c:v>29512.092266663854</c:v>
                </c:pt>
                <c:pt idx="150">
                  <c:v>31622.776601683781</c:v>
                </c:pt>
                <c:pt idx="151">
                  <c:v>33884.415613920231</c:v>
                </c:pt>
                <c:pt idx="152">
                  <c:v>36307.805477010166</c:v>
                </c:pt>
                <c:pt idx="153">
                  <c:v>38904.514499428085</c:v>
                </c:pt>
                <c:pt idx="154">
                  <c:v>41686.93834703348</c:v>
                </c:pt>
                <c:pt idx="155">
                  <c:v>44668.359215096309</c:v>
                </c:pt>
                <c:pt idx="156">
                  <c:v>47863.009232263823</c:v>
                </c:pt>
                <c:pt idx="157">
                  <c:v>51286.138399136456</c:v>
                </c:pt>
                <c:pt idx="158">
                  <c:v>54954.08738576241</c:v>
                </c:pt>
                <c:pt idx="159">
                  <c:v>58884.365535558936</c:v>
                </c:pt>
                <c:pt idx="160">
                  <c:v>63095.734448019342</c:v>
                </c:pt>
                <c:pt idx="161">
                  <c:v>67608.297539198174</c:v>
                </c:pt>
                <c:pt idx="162">
                  <c:v>72443.596007498985</c:v>
                </c:pt>
                <c:pt idx="163">
                  <c:v>77624.711662869129</c:v>
                </c:pt>
                <c:pt idx="164">
                  <c:v>83176.377110267029</c:v>
                </c:pt>
                <c:pt idx="165">
                  <c:v>89125.093813374449</c:v>
                </c:pt>
                <c:pt idx="166">
                  <c:v>95499.258602143629</c:v>
                </c:pt>
                <c:pt idx="167">
                  <c:v>102329.29922807543</c:v>
                </c:pt>
                <c:pt idx="168">
                  <c:v>109647.81961431848</c:v>
                </c:pt>
                <c:pt idx="169">
                  <c:v>117489.75549395289</c:v>
                </c:pt>
                <c:pt idx="170">
                  <c:v>125892.54117941685</c:v>
                </c:pt>
                <c:pt idx="171">
                  <c:v>134896.28825916522</c:v>
                </c:pt>
                <c:pt idx="172">
                  <c:v>144543.97707459255</c:v>
                </c:pt>
                <c:pt idx="173">
                  <c:v>154881.66189124787</c:v>
                </c:pt>
                <c:pt idx="174">
                  <c:v>165958.69074375575</c:v>
                </c:pt>
                <c:pt idx="175">
                  <c:v>177827.94100389219</c:v>
                </c:pt>
                <c:pt idx="176">
                  <c:v>190546.07179632425</c:v>
                </c:pt>
                <c:pt idx="177">
                  <c:v>204173.79446695274</c:v>
                </c:pt>
                <c:pt idx="178">
                  <c:v>218776.16239495497</c:v>
                </c:pt>
                <c:pt idx="179">
                  <c:v>234422.88153199226</c:v>
                </c:pt>
                <c:pt idx="180">
                  <c:v>251188.64315095753</c:v>
                </c:pt>
                <c:pt idx="181">
                  <c:v>269153.48039269098</c:v>
                </c:pt>
                <c:pt idx="182">
                  <c:v>288403.15031266044</c:v>
                </c:pt>
                <c:pt idx="183">
                  <c:v>309029.54325135821</c:v>
                </c:pt>
                <c:pt idx="184">
                  <c:v>331131.12148259068</c:v>
                </c:pt>
                <c:pt idx="185">
                  <c:v>354813.38923357491</c:v>
                </c:pt>
                <c:pt idx="186">
                  <c:v>380189.39632056118</c:v>
                </c:pt>
                <c:pt idx="187">
                  <c:v>407380.27780411189</c:v>
                </c:pt>
                <c:pt idx="188">
                  <c:v>436515.83224016492</c:v>
                </c:pt>
                <c:pt idx="189">
                  <c:v>467735.14128719777</c:v>
                </c:pt>
                <c:pt idx="190">
                  <c:v>501187.23362727172</c:v>
                </c:pt>
                <c:pt idx="191">
                  <c:v>537031.79637025192</c:v>
                </c:pt>
                <c:pt idx="192">
                  <c:v>575439.93733715592</c:v>
                </c:pt>
                <c:pt idx="193">
                  <c:v>616595.00186148204</c:v>
                </c:pt>
                <c:pt idx="194">
                  <c:v>660693.44800759444</c:v>
                </c:pt>
                <c:pt idx="195">
                  <c:v>707945.78438413737</c:v>
                </c:pt>
                <c:pt idx="196">
                  <c:v>758577.57502918295</c:v>
                </c:pt>
                <c:pt idx="197">
                  <c:v>812830.51616409956</c:v>
                </c:pt>
                <c:pt idx="198">
                  <c:v>870963.58995607914</c:v>
                </c:pt>
                <c:pt idx="199">
                  <c:v>933254.30079698924</c:v>
                </c:pt>
              </c:numCache>
            </c:numRef>
          </c:xVal>
          <c:yVal>
            <c:numRef>
              <c:f>'9. Loop Compensation'!$AT$2:$AT$201</c:f>
              <c:numCache>
                <c:formatCode>General</c:formatCode>
                <c:ptCount val="200"/>
                <c:pt idx="0">
                  <c:v>172.1767838574734</c:v>
                </c:pt>
                <c:pt idx="1">
                  <c:v>171.62380846130898</c:v>
                </c:pt>
                <c:pt idx="2">
                  <c:v>171.03276412397602</c:v>
                </c:pt>
                <c:pt idx="3">
                  <c:v>170.40125857038507</c:v>
                </c:pt>
                <c:pt idx="4">
                  <c:v>169.72680039813702</c:v>
                </c:pt>
                <c:pt idx="5">
                  <c:v>169.00680694288113</c:v>
                </c:pt>
                <c:pt idx="6">
                  <c:v>168.23861552995785</c:v>
                </c:pt>
                <c:pt idx="7">
                  <c:v>167.41949877639757</c:v>
                </c:pt>
                <c:pt idx="8">
                  <c:v>166.5466846732775</c:v>
                </c:pt>
                <c:pt idx="9">
                  <c:v>165.61738222930342</c:v>
                </c:pt>
                <c:pt idx="10">
                  <c:v>164.62881348101857</c:v>
                </c:pt>
                <c:pt idx="11">
                  <c:v>163.57825265858764</c:v>
                </c:pt>
                <c:pt idx="12">
                  <c:v>162.46307322031188</c:v>
                </c:pt>
                <c:pt idx="13">
                  <c:v>161.28080331221275</c:v>
                </c:pt>
                <c:pt idx="14">
                  <c:v>160.02918994708341</c:v>
                </c:pt>
                <c:pt idx="15">
                  <c:v>158.70627180606908</c:v>
                </c:pt>
                <c:pt idx="16">
                  <c:v>157.3104600241374</c:v>
                </c:pt>
                <c:pt idx="17">
                  <c:v>155.84062561655409</c:v>
                </c:pt>
                <c:pt idx="18">
                  <c:v>154.2961913402745</c:v>
                </c:pt>
                <c:pt idx="19">
                  <c:v>152.67722478978621</c:v>
                </c:pt>
                <c:pt idx="20">
                  <c:v>150.98452846179262</c:v>
                </c:pt>
                <c:pt idx="21">
                  <c:v>149.21972148640972</c:v>
                </c:pt>
                <c:pt idx="22">
                  <c:v>147.38530685348641</c:v>
                </c:pt>
                <c:pt idx="23">
                  <c:v>145.48471743272844</c:v>
                </c:pt>
                <c:pt idx="24">
                  <c:v>143.52233408018628</c:v>
                </c:pt>
                <c:pt idx="25">
                  <c:v>141.50346980732081</c:v>
                </c:pt>
                <c:pt idx="26">
                  <c:v>139.43431546817317</c:v>
                </c:pt>
                <c:pt idx="27">
                  <c:v>137.32184469764402</c:v>
                </c:pt>
                <c:pt idx="28">
                  <c:v>135.17367877535139</c:v>
                </c:pt>
                <c:pt idx="29">
                  <c:v>132.99791541502972</c:v>
                </c:pt>
                <c:pt idx="30">
                  <c:v>130.80292878840143</c:v>
                </c:pt>
                <c:pt idx="31">
                  <c:v>128.59715092560955</c:v>
                </c:pt>
                <c:pt idx="32">
                  <c:v>126.3888465615464</c:v>
                </c:pt>
                <c:pt idx="33">
                  <c:v>124.18589421066865</c:v>
                </c:pt>
                <c:pt idx="34">
                  <c:v>121.99558563715209</c:v>
                </c:pt>
                <c:pt idx="35">
                  <c:v>119.82445404802543</c:v>
                </c:pt>
                <c:pt idx="36">
                  <c:v>117.67813857535634</c:v>
                </c:pt>
                <c:pt idx="37">
                  <c:v>115.56128935680877</c:v>
                </c:pt>
                <c:pt idx="38">
                  <c:v>113.47751423297152</c:v>
                </c:pt>
                <c:pt idx="39">
                  <c:v>111.42936516064228</c:v>
                </c:pt>
                <c:pt idx="40">
                  <c:v>109.41836018111103</c:v>
                </c:pt>
                <c:pt idx="41">
                  <c:v>107.44503532299952</c:v>
                </c:pt>
                <c:pt idx="42">
                  <c:v>105.5090201638168</c:v>
                </c:pt>
                <c:pt idx="43">
                  <c:v>103.609130820416</c:v>
                </c:pt>
                <c:pt idx="44">
                  <c:v>101.74347472018729</c:v>
                </c:pt>
                <c:pt idx="45">
                  <c:v>99.909562434462856</c:v>
                </c:pt>
                <c:pt idx="46">
                  <c:v>98.104422955711144</c:v>
                </c:pt>
                <c:pt idx="47">
                  <c:v>96.324719922569457</c:v>
                </c:pt>
                <c:pt idx="48">
                  <c:v>94.566867330477635</c:v>
                </c:pt>
                <c:pt idx="49">
                  <c:v>92.827144135333938</c:v>
                </c:pt>
                <c:pt idx="50">
                  <c:v>91.101807817107726</c:v>
                </c:pt>
                <c:pt idx="51">
                  <c:v>89.387207394708241</c:v>
                </c:pt>
                <c:pt idx="52">
                  <c:v>87.679896560726945</c:v>
                </c:pt>
                <c:pt idx="53">
                  <c:v>85.976747530626881</c:v>
                </c:pt>
                <c:pt idx="54">
                  <c:v>84.275065876244582</c:v>
                </c:pt>
                <c:pt idx="55">
                  <c:v>82.572706044574673</c:v>
                </c:pt>
                <c:pt idx="56">
                  <c:v>80.868186466129643</c:v>
                </c:pt>
                <c:pt idx="57">
                  <c:v>79.160802165871075</c:v>
                </c:pt>
                <c:pt idx="58">
                  <c:v>77.45073166199542</c:v>
                </c:pt>
                <c:pt idx="59">
                  <c:v>75.739133764865088</c:v>
                </c:pt>
                <c:pt idx="60">
                  <c:v>74.028228798574702</c:v>
                </c:pt>
                <c:pt idx="61">
                  <c:v>72.321357924453565</c:v>
                </c:pt>
                <c:pt idx="62">
                  <c:v>70.623013834764308</c:v>
                </c:pt>
                <c:pt idx="63">
                  <c:v>68.93883628835323</c:v>
                </c:pt>
                <c:pt idx="64">
                  <c:v>67.275566920483755</c:v>
                </c:pt>
                <c:pt idx="65">
                  <c:v>65.640959535870437</c:v>
                </c:pt>
                <c:pt idx="66">
                  <c:v>64.043644624372604</c:v>
                </c:pt>
                <c:pt idx="67">
                  <c:v>62.492949916574027</c:v>
                </c:pt>
                <c:pt idx="68">
                  <c:v>60.998682080512346</c:v>
                </c:pt>
                <c:pt idx="69">
                  <c:v>59.570877720840862</c:v>
                </c:pt>
                <c:pt idx="70">
                  <c:v>58.219534236470622</c:v>
                </c:pt>
                <c:pt idx="71">
                  <c:v>56.954332463840167</c:v>
                </c:pt>
                <c:pt idx="72">
                  <c:v>55.784363189094563</c:v>
                </c:pt>
                <c:pt idx="73">
                  <c:v>54.71786857832187</c:v>
                </c:pt>
                <c:pt idx="74">
                  <c:v>53.762007588745774</c:v>
                </c:pt>
                <c:pt idx="75">
                  <c:v>52.922651882591381</c:v>
                </c:pt>
                <c:pt idx="76">
                  <c:v>52.204216135125272</c:v>
                </c:pt>
                <c:pt idx="77">
                  <c:v>51.609524342466337</c:v>
                </c:pt>
                <c:pt idx="78">
                  <c:v>51.139712108170414</c:v>
                </c:pt>
                <c:pt idx="79">
                  <c:v>50.794164063829015</c:v>
                </c:pt>
                <c:pt idx="80">
                  <c:v>50.570485516830317</c:v>
                </c:pt>
                <c:pt idx="81">
                  <c:v>50.464507914728287</c:v>
                </c:pt>
                <c:pt idx="82">
                  <c:v>50.470328454647159</c:v>
                </c:pt>
                <c:pt idx="83">
                  <c:v>50.580384784948293</c:v>
                </c:pt>
                <c:pt idx="84">
                  <c:v>50.785565906661176</c:v>
                </c:pt>
                <c:pt idx="85">
                  <c:v>51.075359838424134</c:v>
                </c:pt>
                <c:pt idx="86">
                  <c:v>51.438037264024402</c:v>
                </c:pt>
                <c:pt idx="87">
                  <c:v>51.860868320309436</c:v>
                </c:pt>
                <c:pt idx="88">
                  <c:v>52.330367169446333</c:v>
                </c:pt>
                <c:pt idx="89">
                  <c:v>52.832556436991709</c:v>
                </c:pt>
                <c:pt idx="90">
                  <c:v>53.353241452242798</c:v>
                </c:pt>
                <c:pt idx="91">
                  <c:v>53.878282929681603</c:v>
                </c:pt>
                <c:pt idx="92">
                  <c:v>54.393856576295391</c:v>
                </c:pt>
                <c:pt idx="93">
                  <c:v>54.886689193194059</c:v>
                </c:pt>
                <c:pt idx="94">
                  <c:v>55.344263032725323</c:v>
                </c:pt>
                <c:pt idx="95">
                  <c:v>55.754983156008976</c:v>
                </c:pt>
                <c:pt idx="96">
                  <c:v>56.108305877450732</c:v>
                </c:pt>
                <c:pt idx="97">
                  <c:v>56.394829627752912</c:v>
                </c:pt>
                <c:pt idx="98">
                  <c:v>56.606352324055635</c:v>
                </c:pt>
                <c:pt idx="99">
                  <c:v>56.735901334371135</c:v>
                </c:pt>
                <c:pt idx="100">
                  <c:v>56.777743233683495</c:v>
                </c:pt>
                <c:pt idx="101">
                  <c:v>56.727380770073381</c:v>
                </c:pt>
                <c:pt idx="102">
                  <c:v>56.581543886254053</c:v>
                </c:pt>
                <c:pt idx="103">
                  <c:v>56.338180426547467</c:v>
                </c:pt>
                <c:pt idx="104">
                  <c:v>55.996450475212157</c:v>
                </c:pt>
                <c:pt idx="105">
                  <c:v>55.556726292188102</c:v>
                </c:pt>
                <c:pt idx="106">
                  <c:v>55.02059770060319</c:v>
                </c:pt>
                <c:pt idx="107">
                  <c:v>54.390880693612715</c:v>
                </c:pt>
                <c:pt idx="108">
                  <c:v>53.671625124283125</c:v>
                </c:pt>
                <c:pt idx="109">
                  <c:v>52.86811578728701</c:v>
                </c:pt>
                <c:pt idx="110">
                  <c:v>51.986860169040739</c:v>
                </c:pt>
                <c:pt idx="111">
                  <c:v>51.035555802763767</c:v>
                </c:pt>
                <c:pt idx="112">
                  <c:v>50.02303065505042</c:v>
                </c:pt>
                <c:pt idx="113">
                  <c:v>48.959151361197399</c:v>
                </c:pt>
                <c:pt idx="114">
                  <c:v>47.854696380530655</c:v>
                </c:pt>
                <c:pt idx="115">
                  <c:v>46.721194086557944</c:v>
                </c:pt>
                <c:pt idx="116">
                  <c:v>45.570729124933408</c:v>
                </c:pt>
                <c:pt idx="117">
                  <c:v>44.41572363866149</c:v>
                </c:pt>
                <c:pt idx="118">
                  <c:v>43.268702702566728</c:v>
                </c:pt>
                <c:pt idx="119">
                  <c:v>42.142055099507829</c:v>
                </c:pt>
                <c:pt idx="120">
                  <c:v>41.047801115754737</c:v>
                </c:pt>
                <c:pt idx="121">
                  <c:v>39.99737824090677</c:v>
                </c:pt>
                <c:pt idx="122">
                  <c:v>39.001453660175088</c:v>
                </c:pt>
                <c:pt idx="123">
                  <c:v>38.069769547647837</c:v>
                </c:pt>
                <c:pt idx="124">
                  <c:v>37.211023851136503</c:v>
                </c:pt>
                <c:pt idx="125">
                  <c:v>36.432785971301513</c:v>
                </c:pt>
                <c:pt idx="126">
                  <c:v>35.741443888532885</c:v>
                </c:pt>
                <c:pt idx="127">
                  <c:v>35.142177169342318</c:v>
                </c:pt>
                <c:pt idx="128">
                  <c:v>34.638949035980247</c:v>
                </c:pt>
                <c:pt idx="129">
                  <c:v>34.234510322514254</c:v>
                </c:pt>
                <c:pt idx="130">
                  <c:v>33.930408581734042</c:v>
                </c:pt>
                <c:pt idx="131">
                  <c:v>33.726996704372397</c:v>
                </c:pt>
                <c:pt idx="132">
                  <c:v>33.623436996073536</c:v>
                </c:pt>
                <c:pt idx="133">
                  <c:v>33.617698559505286</c:v>
                </c:pt>
                <c:pt idx="134">
                  <c:v>33.706547891050775</c:v>
                </c:pt>
                <c:pt idx="135">
                  <c:v>33.885534674636119</c:v>
                </c:pt>
                <c:pt idx="136">
                  <c:v>34.148976691213491</c:v>
                </c:pt>
                <c:pt idx="137">
                  <c:v>34.489949404707318</c:v>
                </c:pt>
                <c:pt idx="138">
                  <c:v>34.900286966426691</c:v>
                </c:pt>
                <c:pt idx="139">
                  <c:v>35.370601930136942</c:v>
                </c:pt>
                <c:pt idx="140">
                  <c:v>35.890330739318642</c:v>
                </c:pt>
                <c:pt idx="141">
                  <c:v>36.4478109415125</c:v>
                </c:pt>
                <c:pt idx="142">
                  <c:v>37.030394101989032</c:v>
                </c:pt>
                <c:pt idx="143">
                  <c:v>37.624595659295295</c:v>
                </c:pt>
                <c:pt idx="144">
                  <c:v>38.216279760324802</c:v>
                </c:pt>
                <c:pt idx="145">
                  <c:v>38.790873828408003</c:v>
                </c:pt>
                <c:pt idx="146">
                  <c:v>39.33360471931487</c:v>
                </c:pt>
                <c:pt idx="147">
                  <c:v>39.829746256427519</c:v>
                </c:pt>
                <c:pt idx="148">
                  <c:v>40.264867047598536</c:v>
                </c:pt>
                <c:pt idx="149">
                  <c:v>40.625067925593719</c:v>
                </c:pt>
                <c:pt idx="150">
                  <c:v>40.897200050406724</c:v>
                </c:pt>
                <c:pt idx="151">
                  <c:v>41.069057384281685</c:v>
                </c:pt>
                <c:pt idx="152">
                  <c:v>41.129540469803317</c:v>
                </c:pt>
                <c:pt idx="153">
                  <c:v>41.068791719683425</c:v>
                </c:pt>
                <c:pt idx="154">
                  <c:v>40.878305307692315</c:v>
                </c:pt>
                <c:pt idx="155">
                  <c:v>40.551016879134728</c:v>
                </c:pt>
                <c:pt idx="156">
                  <c:v>40.081379459581008</c:v>
                </c:pt>
                <c:pt idx="157">
                  <c:v>39.465432054869773</c:v>
                </c:pt>
                <c:pt idx="158">
                  <c:v>38.700866543287077</c:v>
                </c:pt>
                <c:pt idx="159">
                  <c:v>37.787096685956627</c:v>
                </c:pt>
                <c:pt idx="160">
                  <c:v>36.725330601936648</c:v>
                </c:pt>
                <c:pt idx="161">
                  <c:v>35.518645084230158</c:v>
                </c:pt>
                <c:pt idx="162">
                  <c:v>34.172056916727499</c:v>
                </c:pt>
                <c:pt idx="163">
                  <c:v>32.692583170594745</c:v>
                </c:pt>
                <c:pt idx="164">
                  <c:v>31.089279634981807</c:v>
                </c:pt>
                <c:pt idx="165">
                  <c:v>29.373244435165219</c:v>
                </c:pt>
                <c:pt idx="166">
                  <c:v>27.557572896685713</c:v>
                </c:pt>
                <c:pt idx="167">
                  <c:v>25.657250188928984</c:v>
                </c:pt>
                <c:pt idx="168">
                  <c:v>23.68897049718511</c:v>
                </c:pt>
                <c:pt idx="169">
                  <c:v>21.670875526936371</c:v>
                </c:pt>
                <c:pt idx="170">
                  <c:v>19.622210887965906</c:v>
                </c:pt>
                <c:pt idx="171">
                  <c:v>17.562905897220332</c:v>
                </c:pt>
                <c:pt idx="172">
                  <c:v>15.513089858520303</c:v>
                </c:pt>
                <c:pt idx="173">
                  <c:v>13.492565009833299</c:v>
                </c:pt>
                <c:pt idx="174">
                  <c:v>11.520262110576979</c:v>
                </c:pt>
                <c:pt idx="175">
                  <c:v>9.6137082338044877</c:v>
                </c:pt>
                <c:pt idx="176">
                  <c:v>7.7885371796494525</c:v>
                </c:pt>
                <c:pt idx="177">
                  <c:v>6.0580708743767389</c:v>
                </c:pt>
                <c:pt idx="178">
                  <c:v>4.432995405833779</c:v>
                </c:pt>
                <c:pt idx="179">
                  <c:v>2.9211485497138483</c:v>
                </c:pt>
                <c:pt idx="180">
                  <c:v>1.5274275529561123</c:v>
                </c:pt>
                <c:pt idx="181">
                  <c:v>0.25381742578079525</c:v>
                </c:pt>
                <c:pt idx="182">
                  <c:v>-0.90046812679398158</c:v>
                </c:pt>
                <c:pt idx="183">
                  <c:v>-1.9387480313197898</c:v>
                </c:pt>
                <c:pt idx="184">
                  <c:v>-2.8665577295827234</c:v>
                </c:pt>
                <c:pt idx="185">
                  <c:v>-3.6912793453830659</c:v>
                </c:pt>
                <c:pt idx="186">
                  <c:v>-4.4217431570085637</c:v>
                </c:pt>
                <c:pt idx="187">
                  <c:v>-5.0678246139615055</c:v>
                </c:pt>
                <c:pt idx="188">
                  <c:v>-5.6400585199118893</c:v>
                </c:pt>
                <c:pt idx="189">
                  <c:v>-6.1492879772318361</c:v>
                </c:pt>
                <c:pt idx="190">
                  <c:v>-6.6063607951972756</c:v>
                </c:pt>
                <c:pt idx="191">
                  <c:v>-7.0218808915423949</c:v>
                </c:pt>
                <c:pt idx="192">
                  <c:v>-7.4060173119216586</c:v>
                </c:pt>
                <c:pt idx="193">
                  <c:v>-7.7683692860375402</c:v>
                </c:pt>
                <c:pt idx="194">
                  <c:v>-8.1178825049003365</c:v>
                </c:pt>
                <c:pt idx="195">
                  <c:v>-8.4628096429500488</c:v>
                </c:pt>
                <c:pt idx="196">
                  <c:v>-8.8107070146970443</c:v>
                </c:pt>
                <c:pt idx="197">
                  <c:v>-9.1684589942650518</c:v>
                </c:pt>
                <c:pt idx="198">
                  <c:v>-9.542322225802053</c:v>
                </c:pt>
                <c:pt idx="199">
                  <c:v>-9.9379824879354715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F4-4260-96A2-3289A60AD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31616"/>
        <c:axId val="240832008"/>
      </c:scatterChart>
      <c:valAx>
        <c:axId val="240831616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0832008"/>
        <c:crosses val="autoZero"/>
        <c:crossBetween val="midCat"/>
      </c:valAx>
      <c:valAx>
        <c:axId val="240832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0831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|Vloop</a:t>
            </a:r>
            <a:r>
              <a:rPr lang="en-US" baseline="0"/>
              <a:t>|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'9. Loop Compensation'!$AS$1</c:f>
              <c:strCache>
                <c:ptCount val="1"/>
                <c:pt idx="0">
                  <c:v>db</c:v>
                </c:pt>
              </c:strCache>
            </c:strRef>
          </c:tx>
          <c:marker>
            <c:symbol val="none"/>
          </c:marker>
          <c:xVal>
            <c:numRef>
              <c:f>'9. Loop Compensation'!$Z$2:$Z$200</c:f>
              <c:numCache>
                <c:formatCode>General</c:formatCode>
                <c:ptCount val="199"/>
                <c:pt idx="0">
                  <c:v>1</c:v>
                </c:pt>
                <c:pt idx="1">
                  <c:v>1.0715193052376064</c:v>
                </c:pt>
                <c:pt idx="2">
                  <c:v>1.1481536214968828</c:v>
                </c:pt>
                <c:pt idx="3">
                  <c:v>1.2302687708123814</c:v>
                </c:pt>
                <c:pt idx="4">
                  <c:v>1.318256738556407</c:v>
                </c:pt>
                <c:pt idx="5">
                  <c:v>1.4125375446227544</c:v>
                </c:pt>
                <c:pt idx="6">
                  <c:v>1.513561248436208</c:v>
                </c:pt>
                <c:pt idx="7">
                  <c:v>1.6218100973589298</c:v>
                </c:pt>
                <c:pt idx="8">
                  <c:v>1.7378008287493754</c:v>
                </c:pt>
                <c:pt idx="9">
                  <c:v>1.8620871366628673</c:v>
                </c:pt>
                <c:pt idx="10">
                  <c:v>1.9952623149688797</c:v>
                </c:pt>
                <c:pt idx="11">
                  <c:v>2.1379620895022318</c:v>
                </c:pt>
                <c:pt idx="12">
                  <c:v>2.2908676527677727</c:v>
                </c:pt>
                <c:pt idx="13">
                  <c:v>2.4547089156850301</c:v>
                </c:pt>
                <c:pt idx="14">
                  <c:v>2.6302679918953817</c:v>
                </c:pt>
                <c:pt idx="15">
                  <c:v>2.8183829312644537</c:v>
                </c:pt>
                <c:pt idx="16">
                  <c:v>3.0199517204020156</c:v>
                </c:pt>
                <c:pt idx="17">
                  <c:v>3.2359365692962818</c:v>
                </c:pt>
                <c:pt idx="18">
                  <c:v>3.4673685045253162</c:v>
                </c:pt>
                <c:pt idx="19">
                  <c:v>3.7153522909717256</c:v>
                </c:pt>
                <c:pt idx="20">
                  <c:v>3.9810717055349727</c:v>
                </c:pt>
                <c:pt idx="21">
                  <c:v>4.2657951880159262</c:v>
                </c:pt>
                <c:pt idx="22">
                  <c:v>4.570881896148749</c:v>
                </c:pt>
                <c:pt idx="23">
                  <c:v>4.8977881936844616</c:v>
                </c:pt>
                <c:pt idx="24">
                  <c:v>5.2480746024977245</c:v>
                </c:pt>
                <c:pt idx="25">
                  <c:v>5.6234132519034903</c:v>
                </c:pt>
                <c:pt idx="26">
                  <c:v>6.0255958607435751</c:v>
                </c:pt>
                <c:pt idx="27">
                  <c:v>6.4565422903465537</c:v>
                </c:pt>
                <c:pt idx="28">
                  <c:v>6.9183097091893631</c:v>
                </c:pt>
                <c:pt idx="29">
                  <c:v>7.4131024130091765</c:v>
                </c:pt>
                <c:pt idx="30">
                  <c:v>7.943282347242814</c:v>
                </c:pt>
                <c:pt idx="31">
                  <c:v>8.5113803820237646</c:v>
                </c:pt>
                <c:pt idx="32">
                  <c:v>9.1201083935590948</c:v>
                </c:pt>
                <c:pt idx="33">
                  <c:v>9.7723722095581049</c:v>
                </c:pt>
                <c:pt idx="34">
                  <c:v>10.471285480508991</c:v>
                </c:pt>
                <c:pt idx="35">
                  <c:v>11.220184543019631</c:v>
                </c:pt>
                <c:pt idx="36">
                  <c:v>12.022644346174127</c:v>
                </c:pt>
                <c:pt idx="37">
                  <c:v>12.882495516931341</c:v>
                </c:pt>
                <c:pt idx="38">
                  <c:v>13.803842646028851</c:v>
                </c:pt>
                <c:pt idx="39">
                  <c:v>14.791083881682074</c:v>
                </c:pt>
                <c:pt idx="40">
                  <c:v>15.848931924611136</c:v>
                </c:pt>
                <c:pt idx="41">
                  <c:v>16.982436524617441</c:v>
                </c:pt>
                <c:pt idx="42">
                  <c:v>18.197008586099834</c:v>
                </c:pt>
                <c:pt idx="43">
                  <c:v>19.498445997580447</c:v>
                </c:pt>
                <c:pt idx="44">
                  <c:v>20.892961308540382</c:v>
                </c:pt>
                <c:pt idx="45">
                  <c:v>22.387211385683386</c:v>
                </c:pt>
                <c:pt idx="46">
                  <c:v>23.988329190194897</c:v>
                </c:pt>
                <c:pt idx="47">
                  <c:v>25.703957827688622</c:v>
                </c:pt>
                <c:pt idx="48">
                  <c:v>27.542287033381651</c:v>
                </c:pt>
                <c:pt idx="49">
                  <c:v>29.512092266663849</c:v>
                </c:pt>
                <c:pt idx="50">
                  <c:v>31.622776601683789</c:v>
                </c:pt>
                <c:pt idx="51">
                  <c:v>33.884415613920254</c:v>
                </c:pt>
                <c:pt idx="52">
                  <c:v>36.307805477010106</c:v>
                </c:pt>
                <c:pt idx="53">
                  <c:v>38.904514499428039</c:v>
                </c:pt>
                <c:pt idx="54">
                  <c:v>41.686938347033525</c:v>
                </c:pt>
                <c:pt idx="55">
                  <c:v>44.668359215096302</c:v>
                </c:pt>
                <c:pt idx="56">
                  <c:v>47.863009232263813</c:v>
                </c:pt>
                <c:pt idx="57">
                  <c:v>51.286138399136469</c:v>
                </c:pt>
                <c:pt idx="58">
                  <c:v>54.95408738576247</c:v>
                </c:pt>
                <c:pt idx="59">
                  <c:v>58.884365535558892</c:v>
                </c:pt>
                <c:pt idx="60">
                  <c:v>63.095734448019307</c:v>
                </c:pt>
                <c:pt idx="61">
                  <c:v>67.608297539198134</c:v>
                </c:pt>
                <c:pt idx="62">
                  <c:v>72.443596007499011</c:v>
                </c:pt>
                <c:pt idx="63">
                  <c:v>77.624711662869146</c:v>
                </c:pt>
                <c:pt idx="64">
                  <c:v>83.176377110267055</c:v>
                </c:pt>
                <c:pt idx="65">
                  <c:v>89.125093813374562</c:v>
                </c:pt>
                <c:pt idx="66">
                  <c:v>95.49925860214357</c:v>
                </c:pt>
                <c:pt idx="67">
                  <c:v>102.32929922807544</c:v>
                </c:pt>
                <c:pt idx="68">
                  <c:v>109.64781961431841</c:v>
                </c:pt>
                <c:pt idx="69">
                  <c:v>117.48975549395293</c:v>
                </c:pt>
                <c:pt idx="70">
                  <c:v>125.89254117941665</c:v>
                </c:pt>
                <c:pt idx="71">
                  <c:v>134.89628825916537</c:v>
                </c:pt>
                <c:pt idx="72">
                  <c:v>144.54397707459273</c:v>
                </c:pt>
                <c:pt idx="73">
                  <c:v>154.88166189124806</c:v>
                </c:pt>
                <c:pt idx="74">
                  <c:v>165.95869074375608</c:v>
                </c:pt>
                <c:pt idx="75">
                  <c:v>177.82794100389225</c:v>
                </c:pt>
                <c:pt idx="76">
                  <c:v>190.54607179632481</c:v>
                </c:pt>
                <c:pt idx="77">
                  <c:v>204.17379446695278</c:v>
                </c:pt>
                <c:pt idx="78">
                  <c:v>218.77616239495524</c:v>
                </c:pt>
                <c:pt idx="79">
                  <c:v>234.42288153199212</c:v>
                </c:pt>
                <c:pt idx="80">
                  <c:v>251.18864315095806</c:v>
                </c:pt>
                <c:pt idx="81">
                  <c:v>269.15348039269156</c:v>
                </c:pt>
                <c:pt idx="82">
                  <c:v>288.4031503126605</c:v>
                </c:pt>
                <c:pt idx="83">
                  <c:v>309.02954325135909</c:v>
                </c:pt>
                <c:pt idx="84">
                  <c:v>331.13112148259108</c:v>
                </c:pt>
                <c:pt idx="85">
                  <c:v>354.81338923357566</c:v>
                </c:pt>
                <c:pt idx="86">
                  <c:v>380.18939632056095</c:v>
                </c:pt>
                <c:pt idx="87">
                  <c:v>407.38027780411232</c:v>
                </c:pt>
                <c:pt idx="88">
                  <c:v>436.51583224016542</c:v>
                </c:pt>
                <c:pt idx="89">
                  <c:v>467.73514128719791</c:v>
                </c:pt>
                <c:pt idx="90">
                  <c:v>501.18723362727184</c:v>
                </c:pt>
                <c:pt idx="91">
                  <c:v>537.03179637025255</c:v>
                </c:pt>
                <c:pt idx="92">
                  <c:v>575.43993733715661</c:v>
                </c:pt>
                <c:pt idx="93">
                  <c:v>616.59500186148216</c:v>
                </c:pt>
                <c:pt idx="94">
                  <c:v>660.69344800759518</c:v>
                </c:pt>
                <c:pt idx="95">
                  <c:v>707.94578438413748</c:v>
                </c:pt>
                <c:pt idx="96">
                  <c:v>758.57757502918309</c:v>
                </c:pt>
                <c:pt idx="97">
                  <c:v>812.8305161640983</c:v>
                </c:pt>
                <c:pt idx="98">
                  <c:v>870.96358995608011</c:v>
                </c:pt>
                <c:pt idx="99">
                  <c:v>933.25430079699026</c:v>
                </c:pt>
                <c:pt idx="100">
                  <c:v>999.99999999999977</c:v>
                </c:pt>
                <c:pt idx="101">
                  <c:v>1071.5193052376057</c:v>
                </c:pt>
                <c:pt idx="102">
                  <c:v>1148.1536214968828</c:v>
                </c:pt>
                <c:pt idx="103">
                  <c:v>1230.2687708123801</c:v>
                </c:pt>
                <c:pt idx="104">
                  <c:v>1318.2567385564053</c:v>
                </c:pt>
                <c:pt idx="105">
                  <c:v>1412.5375446227531</c:v>
                </c:pt>
                <c:pt idx="106">
                  <c:v>1513.5612484362066</c:v>
                </c:pt>
                <c:pt idx="107">
                  <c:v>1621.8100973589292</c:v>
                </c:pt>
                <c:pt idx="108">
                  <c:v>1737.8008287493742</c:v>
                </c:pt>
                <c:pt idx="109">
                  <c:v>1862.0871366628671</c:v>
                </c:pt>
                <c:pt idx="110">
                  <c:v>1995.2623149688786</c:v>
                </c:pt>
                <c:pt idx="111">
                  <c:v>2137.9620895022326</c:v>
                </c:pt>
                <c:pt idx="112">
                  <c:v>2290.8676527677708</c:v>
                </c:pt>
                <c:pt idx="113">
                  <c:v>2454.708915685027</c:v>
                </c:pt>
                <c:pt idx="114">
                  <c:v>2630.26799189538</c:v>
                </c:pt>
                <c:pt idx="115">
                  <c:v>2818.3829312644511</c:v>
                </c:pt>
                <c:pt idx="116">
                  <c:v>3019.9517204020176</c:v>
                </c:pt>
                <c:pt idx="117">
                  <c:v>3235.9365692962774</c:v>
                </c:pt>
                <c:pt idx="118">
                  <c:v>3467.368504525316</c:v>
                </c:pt>
                <c:pt idx="119">
                  <c:v>3715.352290971724</c:v>
                </c:pt>
                <c:pt idx="120">
                  <c:v>3981.0717055349701</c:v>
                </c:pt>
                <c:pt idx="121">
                  <c:v>4265.7951880159226</c:v>
                </c:pt>
                <c:pt idx="122">
                  <c:v>4570.881896148745</c:v>
                </c:pt>
                <c:pt idx="123">
                  <c:v>4897.7881936844633</c:v>
                </c:pt>
                <c:pt idx="124">
                  <c:v>5248.0746024977261</c:v>
                </c:pt>
                <c:pt idx="125">
                  <c:v>5623.4132519034893</c:v>
                </c:pt>
                <c:pt idx="126">
                  <c:v>6025.5958607435741</c:v>
                </c:pt>
                <c:pt idx="127">
                  <c:v>6456.5422903465496</c:v>
                </c:pt>
                <c:pt idx="128">
                  <c:v>6918.3097091893569</c:v>
                </c:pt>
                <c:pt idx="129">
                  <c:v>7413.1024130091646</c:v>
                </c:pt>
                <c:pt idx="130">
                  <c:v>7943.2823472428154</c:v>
                </c:pt>
                <c:pt idx="131">
                  <c:v>8511.3803820237626</c:v>
                </c:pt>
                <c:pt idx="132">
                  <c:v>9120.1083935590923</c:v>
                </c:pt>
                <c:pt idx="133">
                  <c:v>9772.3722095580997</c:v>
                </c:pt>
                <c:pt idx="134">
                  <c:v>10471.285480509003</c:v>
                </c:pt>
                <c:pt idx="135">
                  <c:v>11220.184543019639</c:v>
                </c:pt>
                <c:pt idx="136">
                  <c:v>12022.644346174109</c:v>
                </c:pt>
                <c:pt idx="137">
                  <c:v>12882.495516931338</c:v>
                </c:pt>
                <c:pt idx="138">
                  <c:v>13803.842646028841</c:v>
                </c:pt>
                <c:pt idx="139">
                  <c:v>14791.083881682063</c:v>
                </c:pt>
                <c:pt idx="140">
                  <c:v>15848.931924611119</c:v>
                </c:pt>
                <c:pt idx="141">
                  <c:v>16982.436524617453</c:v>
                </c:pt>
                <c:pt idx="142">
                  <c:v>18197.008586099837</c:v>
                </c:pt>
                <c:pt idx="143">
                  <c:v>19498.445997580417</c:v>
                </c:pt>
                <c:pt idx="144">
                  <c:v>20892.961308540387</c:v>
                </c:pt>
                <c:pt idx="145">
                  <c:v>22387.211385683382</c:v>
                </c:pt>
                <c:pt idx="146">
                  <c:v>23988.32919019488</c:v>
                </c:pt>
                <c:pt idx="147">
                  <c:v>25703.957827688606</c:v>
                </c:pt>
                <c:pt idx="148">
                  <c:v>27542.287033381672</c:v>
                </c:pt>
                <c:pt idx="149">
                  <c:v>29512.092266663854</c:v>
                </c:pt>
                <c:pt idx="150">
                  <c:v>31622.776601683781</c:v>
                </c:pt>
                <c:pt idx="151">
                  <c:v>33884.415613920231</c:v>
                </c:pt>
                <c:pt idx="152">
                  <c:v>36307.805477010166</c:v>
                </c:pt>
                <c:pt idx="153">
                  <c:v>38904.514499428085</c:v>
                </c:pt>
                <c:pt idx="154">
                  <c:v>41686.93834703348</c:v>
                </c:pt>
                <c:pt idx="155">
                  <c:v>44668.359215096309</c:v>
                </c:pt>
                <c:pt idx="156">
                  <c:v>47863.009232263823</c:v>
                </c:pt>
                <c:pt idx="157">
                  <c:v>51286.138399136456</c:v>
                </c:pt>
                <c:pt idx="158">
                  <c:v>54954.08738576241</c:v>
                </c:pt>
                <c:pt idx="159">
                  <c:v>58884.365535558936</c:v>
                </c:pt>
                <c:pt idx="160">
                  <c:v>63095.734448019342</c:v>
                </c:pt>
                <c:pt idx="161">
                  <c:v>67608.297539198174</c:v>
                </c:pt>
                <c:pt idx="162">
                  <c:v>72443.596007498985</c:v>
                </c:pt>
                <c:pt idx="163">
                  <c:v>77624.711662869129</c:v>
                </c:pt>
                <c:pt idx="164">
                  <c:v>83176.377110267029</c:v>
                </c:pt>
                <c:pt idx="165">
                  <c:v>89125.093813374449</c:v>
                </c:pt>
                <c:pt idx="166">
                  <c:v>95499.258602143629</c:v>
                </c:pt>
                <c:pt idx="167">
                  <c:v>102329.29922807543</c:v>
                </c:pt>
                <c:pt idx="168">
                  <c:v>109647.81961431848</c:v>
                </c:pt>
                <c:pt idx="169">
                  <c:v>117489.75549395289</c:v>
                </c:pt>
                <c:pt idx="170">
                  <c:v>125892.54117941685</c:v>
                </c:pt>
                <c:pt idx="171">
                  <c:v>134896.28825916522</c:v>
                </c:pt>
                <c:pt idx="172">
                  <c:v>144543.97707459255</c:v>
                </c:pt>
                <c:pt idx="173">
                  <c:v>154881.66189124787</c:v>
                </c:pt>
                <c:pt idx="174">
                  <c:v>165958.69074375575</c:v>
                </c:pt>
                <c:pt idx="175">
                  <c:v>177827.94100389219</c:v>
                </c:pt>
                <c:pt idx="176">
                  <c:v>190546.07179632425</c:v>
                </c:pt>
                <c:pt idx="177">
                  <c:v>204173.79446695274</c:v>
                </c:pt>
                <c:pt idx="178">
                  <c:v>218776.16239495497</c:v>
                </c:pt>
                <c:pt idx="179">
                  <c:v>234422.88153199226</c:v>
                </c:pt>
                <c:pt idx="180">
                  <c:v>251188.64315095753</c:v>
                </c:pt>
                <c:pt idx="181">
                  <c:v>269153.48039269098</c:v>
                </c:pt>
                <c:pt idx="182">
                  <c:v>288403.15031266044</c:v>
                </c:pt>
                <c:pt idx="183">
                  <c:v>309029.54325135821</c:v>
                </c:pt>
                <c:pt idx="184">
                  <c:v>331131.12148259068</c:v>
                </c:pt>
                <c:pt idx="185">
                  <c:v>354813.38923357491</c:v>
                </c:pt>
                <c:pt idx="186">
                  <c:v>380189.39632056118</c:v>
                </c:pt>
                <c:pt idx="187">
                  <c:v>407380.27780411189</c:v>
                </c:pt>
                <c:pt idx="188">
                  <c:v>436515.83224016492</c:v>
                </c:pt>
                <c:pt idx="189">
                  <c:v>467735.14128719777</c:v>
                </c:pt>
                <c:pt idx="190">
                  <c:v>501187.23362727172</c:v>
                </c:pt>
                <c:pt idx="191">
                  <c:v>537031.79637025192</c:v>
                </c:pt>
                <c:pt idx="192">
                  <c:v>575439.93733715592</c:v>
                </c:pt>
                <c:pt idx="193">
                  <c:v>616595.00186148204</c:v>
                </c:pt>
                <c:pt idx="194">
                  <c:v>660693.44800759444</c:v>
                </c:pt>
                <c:pt idx="195">
                  <c:v>707945.78438413737</c:v>
                </c:pt>
                <c:pt idx="196">
                  <c:v>758577.57502918295</c:v>
                </c:pt>
                <c:pt idx="197">
                  <c:v>812830.51616409956</c:v>
                </c:pt>
                <c:pt idx="198">
                  <c:v>870963.58995607914</c:v>
                </c:pt>
              </c:numCache>
            </c:numRef>
          </c:xVal>
          <c:yVal>
            <c:numRef>
              <c:f>'9. Loop Compensation'!$AS$2:$AS$200</c:f>
              <c:numCache>
                <c:formatCode>General</c:formatCode>
                <c:ptCount val="199"/>
                <c:pt idx="0">
                  <c:v>88.907454417309168</c:v>
                </c:pt>
                <c:pt idx="1">
                  <c:v>88.89670819543349</c:v>
                </c:pt>
                <c:pt idx="2">
                  <c:v>88.884402279918532</c:v>
                </c:pt>
                <c:pt idx="3">
                  <c:v>88.87031566573836</c:v>
                </c:pt>
                <c:pt idx="4">
                  <c:v>88.854197688998596</c:v>
                </c:pt>
                <c:pt idx="5">
                  <c:v>88.835764554674824</c:v>
                </c:pt>
                <c:pt idx="6">
                  <c:v>88.814695614349773</c:v>
                </c:pt>
                <c:pt idx="7">
                  <c:v>88.790629427377937</c:v>
                </c:pt>
                <c:pt idx="8">
                  <c:v>88.763159660056033</c:v>
                </c:pt>
                <c:pt idx="9">
                  <c:v>88.731830904151025</c:v>
                </c:pt>
                <c:pt idx="10">
                  <c:v>88.696134529128756</c:v>
                </c:pt>
                <c:pt idx="11">
                  <c:v>88.655504721918291</c:v>
                </c:pt>
                <c:pt idx="12">
                  <c:v>88.609314913781191</c:v>
                </c:pt>
                <c:pt idx="13">
                  <c:v>88.556874844734622</c:v>
                </c:pt>
                <c:pt idx="14">
                  <c:v>88.497428569712071</c:v>
                </c:pt>
                <c:pt idx="15">
                  <c:v>88.430153763363279</c:v>
                </c:pt>
                <c:pt idx="16">
                  <c:v>88.354162726288166</c:v>
                </c:pt>
                <c:pt idx="17">
                  <c:v>88.268505526615172</c:v>
                </c:pt>
                <c:pt idx="18">
                  <c:v>88.172175717133655</c:v>
                </c:pt>
                <c:pt idx="19">
                  <c:v>88.064119038103598</c:v>
                </c:pt>
                <c:pt idx="20">
                  <c:v>87.943245437500508</c:v>
                </c:pt>
                <c:pt idx="21">
                  <c:v>87.808444603601714</c:v>
                </c:pt>
                <c:pt idx="22">
                  <c:v>87.658605003751575</c:v>
                </c:pt>
                <c:pt idx="23">
                  <c:v>87.492636159873626</c:v>
                </c:pt>
                <c:pt idx="24">
                  <c:v>87.309493578740003</c:v>
                </c:pt>
                <c:pt idx="25">
                  <c:v>87.108205418977093</c:v>
                </c:pt>
                <c:pt idx="26">
                  <c:v>86.8878996557454</c:v>
                </c:pt>
                <c:pt idx="27">
                  <c:v>86.64783024555615</c:v>
                </c:pt>
                <c:pt idx="28">
                  <c:v>86.387400647343597</c:v>
                </c:pt>
                <c:pt idx="29">
                  <c:v>86.106183063310255</c:v>
                </c:pt>
                <c:pt idx="30">
                  <c:v>85.803931947177233</c:v>
                </c:pt>
                <c:pt idx="31">
                  <c:v>85.480590684232965</c:v>
                </c:pt>
                <c:pt idx="32">
                  <c:v>85.136290842702891</c:v>
                </c:pt>
                <c:pt idx="33">
                  <c:v>84.771343968975117</c:v>
                </c:pt>
                <c:pt idx="34">
                  <c:v>84.386226474211469</c:v>
                </c:pt>
                <c:pt idx="35">
                  <c:v>83.981558660593294</c:v>
                </c:pt>
                <c:pt idx="36">
                  <c:v>83.558079300421184</c:v>
                </c:pt>
                <c:pt idx="37">
                  <c:v>83.116617374921205</c:v>
                </c:pt>
                <c:pt idx="38">
                  <c:v>82.658062596548177</c:v>
                </c:pt>
                <c:pt idx="39">
                  <c:v>82.183336200866819</c:v>
                </c:pt>
                <c:pt idx="40">
                  <c:v>81.693363242968815</c:v>
                </c:pt>
                <c:pt idx="41">
                  <c:v>81.189047318651944</c:v>
                </c:pt>
                <c:pt idx="42">
                  <c:v>80.671248300556044</c:v>
                </c:pt>
                <c:pt idx="43">
                  <c:v>80.140763373696061</c:v>
                </c:pt>
                <c:pt idx="44">
                  <c:v>79.598311400456765</c:v>
                </c:pt>
                <c:pt idx="45">
                  <c:v>79.044520456340877</c:v>
                </c:pt>
                <c:pt idx="46">
                  <c:v>78.479918257862494</c:v>
                </c:pt>
                <c:pt idx="47">
                  <c:v>77.904925148288228</c:v>
                </c:pt>
                <c:pt idx="48">
                  <c:v>77.319849306084052</c:v>
                </c:pt>
                <c:pt idx="49">
                  <c:v>76.724883883521358</c:v>
                </c:pt>
                <c:pt idx="50">
                  <c:v>76.120105857340221</c:v>
                </c:pt>
                <c:pt idx="51">
                  <c:v>75.505476468863478</c:v>
                </c:pt>
                <c:pt idx="52">
                  <c:v>74.880843237759422</c:v>
                </c:pt>
                <c:pt idx="53">
                  <c:v>74.245943642736933</c:v>
                </c:pt>
                <c:pt idx="54">
                  <c:v>73.600410664987521</c:v>
                </c:pt>
                <c:pt idx="55">
                  <c:v>72.943780476810119</c:v>
                </c:pt>
                <c:pt idx="56">
                  <c:v>72.275502618252176</c:v>
                </c:pt>
                <c:pt idx="57">
                  <c:v>71.594953027413609</c:v>
                </c:pt>
                <c:pt idx="58">
                  <c:v>70.901450263460234</c:v>
                </c:pt>
                <c:pt idx="59">
                  <c:v>70.194275174445735</c:v>
                </c:pt>
                <c:pt idx="60">
                  <c:v>69.472694106996727</c:v>
                </c:pt>
                <c:pt idx="61">
                  <c:v>68.735985530145086</c:v>
                </c:pt>
                <c:pt idx="62">
                  <c:v>67.98346965885861</c:v>
                </c:pt>
                <c:pt idx="63">
                  <c:v>67.214540333874211</c:v>
                </c:pt>
                <c:pt idx="64">
                  <c:v>66.428698075979526</c:v>
                </c:pt>
                <c:pt idx="65">
                  <c:v>65.625582928674163</c:v>
                </c:pt>
                <c:pt idx="66">
                  <c:v>64.805005482532721</c:v>
                </c:pt>
                <c:pt idx="67">
                  <c:v>63.966974383863558</c:v>
                </c:pt>
                <c:pt idx="68">
                  <c:v>63.111718701950444</c:v>
                </c:pt>
                <c:pt idx="69">
                  <c:v>62.239703772411261</c:v>
                </c:pt>
                <c:pt idx="70">
                  <c:v>61.351639528867381</c:v>
                </c:pt>
                <c:pt idx="71">
                  <c:v>60.4484808326078</c:v>
                </c:pt>
                <c:pt idx="72">
                  <c:v>59.531419841255101</c:v>
                </c:pt>
                <c:pt idx="73">
                  <c:v>58.601870947096046</c:v>
                </c:pt>
                <c:pt idx="74">
                  <c:v>57.661449197726633</c:v>
                </c:pt>
                <c:pt idx="75">
                  <c:v>56.711943343314715</c:v>
                </c:pt>
                <c:pt idx="76">
                  <c:v>55.755284724635914</c:v>
                </c:pt>
                <c:pt idx="77">
                  <c:v>54.793513144172124</c:v>
                </c:pt>
                <c:pt idx="78">
                  <c:v>53.828740693888463</c:v>
                </c:pt>
                <c:pt idx="79">
                  <c:v>52.863114306362633</c:v>
                </c:pt>
                <c:pt idx="80">
                  <c:v>51.898777609996749</c:v>
                </c:pt>
                <c:pt idx="81">
                  <c:v>50.937832552474873</c:v>
                </c:pt>
                <c:pt idx="82">
                  <c:v>49.982301238114978</c:v>
                </c:pt>
                <c:pt idx="83">
                  <c:v>49.034088508504013</c:v>
                </c:pt>
                <c:pt idx="84">
                  <c:v>48.094945960747239</c:v>
                </c:pt>
                <c:pt idx="85">
                  <c:v>47.166438301136395</c:v>
                </c:pt>
                <c:pt idx="86">
                  <c:v>46.249913117293261</c:v>
                </c:pt>
                <c:pt idx="87">
                  <c:v>45.346475258911362</c:v>
                </c:pt>
                <c:pt idx="88">
                  <c:v>44.456966995728735</c:v>
                </c:pt>
                <c:pt idx="89">
                  <c:v>43.581954942596155</c:v>
                </c:pt>
                <c:pt idx="90">
                  <c:v>42.721724406873861</c:v>
                </c:pt>
                <c:pt idx="91">
                  <c:v>41.876281356589061</c:v>
                </c:pt>
                <c:pt idx="92">
                  <c:v>41.045361689215682</c:v>
                </c:pt>
                <c:pt idx="93">
                  <c:v>40.228446975522054</c:v>
                </c:pt>
                <c:pt idx="94">
                  <c:v>39.424785434278832</c:v>
                </c:pt>
                <c:pt idx="95">
                  <c:v>38.633416618966208</c:v>
                </c:pt>
                <c:pt idx="96">
                  <c:v>37.853198197544643</c:v>
                </c:pt>
                <c:pt idx="97">
                  <c:v>37.082833281543259</c:v>
                </c:pt>
                <c:pt idx="98">
                  <c:v>36.32089698565801</c:v>
                </c:pt>
                <c:pt idx="99">
                  <c:v>35.565861230704556</c:v>
                </c:pt>
                <c:pt idx="100">
                  <c:v>34.816117190812307</c:v>
                </c:pt>
                <c:pt idx="101">
                  <c:v>34.069995181897404</c:v>
                </c:pt>
                <c:pt idx="102">
                  <c:v>33.325782152561473</c:v>
                </c:pt>
                <c:pt idx="103">
                  <c:v>32.581737241311728</c:v>
                </c:pt>
                <c:pt idx="104">
                  <c:v>31.836106086527202</c:v>
                </c:pt>
                <c:pt idx="105">
                  <c:v>31.08713470738325</c:v>
                </c:pt>
                <c:pt idx="106">
                  <c:v>30.333083810197515</c:v>
                </c:pt>
                <c:pt idx="107">
                  <c:v>29.572244314403992</c:v>
                </c:pt>
                <c:pt idx="108">
                  <c:v>28.802954737870337</c:v>
                </c:pt>
                <c:pt idx="109">
                  <c:v>28.023620839052839</c:v>
                </c:pt>
                <c:pt idx="110">
                  <c:v>27.23273759648692</c:v>
                </c:pt>
                <c:pt idx="111">
                  <c:v>26.428913236333401</c:v>
                </c:pt>
                <c:pt idx="112">
                  <c:v>25.610894628984646</c:v>
                </c:pt>
                <c:pt idx="113">
                  <c:v>24.777593009396426</c:v>
                </c:pt>
                <c:pt idx="114">
                  <c:v>23.928108683075962</c:v>
                </c:pt>
                <c:pt idx="115">
                  <c:v>23.061753210452309</c:v>
                </c:pt>
                <c:pt idx="116">
                  <c:v>22.178067556592715</c:v>
                </c:pt>
                <c:pt idx="117">
                  <c:v>21.276834870375858</c:v>
                </c:pt>
                <c:pt idx="118">
                  <c:v>20.358086908683521</c:v>
                </c:pt>
                <c:pt idx="119">
                  <c:v>19.422103607973462</c:v>
                </c:pt>
                <c:pt idx="120">
                  <c:v>18.469405863362731</c:v>
                </c:pt>
                <c:pt idx="121">
                  <c:v>17.500742125891428</c:v>
                </c:pt>
                <c:pt idx="122">
                  <c:v>16.517069895188975</c:v>
                </c:pt>
                <c:pt idx="123">
                  <c:v>15.519533506978687</c:v>
                </c:pt>
                <c:pt idx="124">
                  <c:v>14.50943975924323</c:v>
                </c:pt>
                <c:pt idx="125">
                  <c:v>13.488232884330472</c:v>
                </c:pt>
                <c:pt idx="126">
                  <c:v>12.45747018071247</c:v>
                </c:pt>
                <c:pt idx="127">
                  <c:v>11.418799309896649</c:v>
                </c:pt>
                <c:pt idx="128">
                  <c:v>10.373937891568277</c:v>
                </c:pt>
                <c:pt idx="129">
                  <c:v>9.3246556424401348</c:v>
                </c:pt>
                <c:pt idx="130">
                  <c:v>8.272758942602799</c:v>
                </c:pt>
                <c:pt idx="131">
                  <c:v>7.2200774076293159</c:v>
                </c:pt>
                <c:pt idx="132">
                  <c:v>6.1684518148787664</c:v>
                </c:pt>
                <c:pt idx="133">
                  <c:v>5.1197225893485392</c:v>
                </c:pt>
                <c:pt idx="134">
                  <c:v>4.0757180032481397</c:v>
                </c:pt>
                <c:pt idx="135">
                  <c:v>3.0382412857463752</c:v>
                </c:pt>
                <c:pt idx="136">
                  <c:v>2.0090559738952312</c:v>
                </c:pt>
                <c:pt idx="137">
                  <c:v>0.98986905789911539</c:v>
                </c:pt>
                <c:pt idx="138">
                  <c:v>-1.7688226481619385E-2</c:v>
                </c:pt>
                <c:pt idx="139">
                  <c:v>-1.0120817469050936</c:v>
                </c:pt>
                <c:pt idx="140">
                  <c:v>-1.9918973644647355</c:v>
                </c:pt>
                <c:pt idx="141">
                  <c:v>-2.9558643852999751</c:v>
                </c:pt>
                <c:pt idx="142">
                  <c:v>-3.9028782734116323</c:v>
                </c:pt>
                <c:pt idx="143">
                  <c:v>-4.8320211123647958</c:v>
                </c:pt>
                <c:pt idx="144">
                  <c:v>-5.742578244774907</c:v>
                </c:pt>
                <c:pt idx="145">
                  <c:v>-6.634049639747313</c:v>
                </c:pt>
                <c:pt idx="146">
                  <c:v>-7.5061548406319449</c:v>
                </c:pt>
                <c:pt idx="147">
                  <c:v>-8.3588307991578503</c:v>
                </c:pt>
                <c:pt idx="148">
                  <c:v>-9.1922224502555974</c:v>
                </c:pt>
                <c:pt idx="149">
                  <c:v>-10.006666449790266</c:v>
                </c:pt>
                <c:pt idx="150">
                  <c:v>-10.802669006904306</c:v>
                </c:pt>
                <c:pt idx="151">
                  <c:v>-11.580879127791839</c:v>
                </c:pt>
                <c:pt idx="152">
                  <c:v>-12.342058807018942</c:v>
                </c:pt>
                <c:pt idx="153">
                  <c:v>-13.08705174469738</c:v>
                </c:pt>
                <c:pt idx="154">
                  <c:v>-13.8167520503787</c:v>
                </c:pt>
                <c:pt idx="155">
                  <c:v>-14.532074156304446</c:v>
                </c:pt>
                <c:pt idx="156">
                  <c:v>-15.233924853501325</c:v>
                </c:pt>
                <c:pt idx="157">
                  <c:v>-15.923178034693937</c:v>
                </c:pt>
                <c:pt idx="158">
                  <c:v>-16.600652421386307</c:v>
                </c:pt>
                <c:pt idx="159">
                  <c:v>-17.267092300210873</c:v>
                </c:pt>
                <c:pt idx="160">
                  <c:v>-17.923151114145284</c:v>
                </c:pt>
                <c:pt idx="161">
                  <c:v>-18.569377653895938</c:v>
                </c:pt>
                <c:pt idx="162">
                  <c:v>-19.206204570440253</c:v>
                </c:pt>
                <c:pt idx="163">
                  <c:v>-19.833938971080141</c:v>
                </c:pt>
                <c:pt idx="164">
                  <c:v>-20.45275495303698</c:v>
                </c:pt>
                <c:pt idx="165">
                  <c:v>-21.062688051903027</c:v>
                </c:pt>
                <c:pt idx="166">
                  <c:v>-21.663631716357024</c:v>
                </c:pt>
                <c:pt idx="167">
                  <c:v>-22.255336044073076</c:v>
                </c:pt>
                <c:pt idx="168">
                  <c:v>-22.83740910665054</c:v>
                </c:pt>
                <c:pt idx="169">
                  <c:v>-23.409321237422304</c:v>
                </c:pt>
                <c:pt idx="170">
                  <c:v>-23.97041264528313</c:v>
                </c:pt>
                <c:pt idx="171">
                  <c:v>-24.519904648627076</c:v>
                </c:pt>
                <c:pt idx="172">
                  <c:v>-25.05691470301128</c:v>
                </c:pt>
                <c:pt idx="173">
                  <c:v>-25.580475237788573</c:v>
                </c:pt>
                <c:pt idx="174">
                  <c:v>-26.08955613677719</c:v>
                </c:pt>
                <c:pt idx="175">
                  <c:v>-26.58309051017838</c:v>
                </c:pt>
                <c:pt idx="176">
                  <c:v>-27.06000321799884</c:v>
                </c:pt>
                <c:pt idx="177">
                  <c:v>-27.519241421858908</c:v>
                </c:pt>
                <c:pt idx="178">
                  <c:v>-27.959806262184316</c:v>
                </c:pt>
                <c:pt idx="179">
                  <c:v>-28.380784584363187</c:v>
                </c:pt>
                <c:pt idx="180">
                  <c:v>-28.781379482434751</c:v>
                </c:pt>
                <c:pt idx="181">
                  <c:v>-29.160938315891141</c:v>
                </c:pt>
                <c:pt idx="182">
                  <c:v>-29.518976817202471</c:v>
                </c:pt>
                <c:pt idx="183">
                  <c:v>-29.855197978956127</c:v>
                </c:pt>
                <c:pt idx="184">
                  <c:v>-30.16950461429435</c:v>
                </c:pt>
                <c:pt idx="185">
                  <c:v>-30.462004826017179</c:v>
                </c:pt>
                <c:pt idx="186">
                  <c:v>-30.733010074591288</c:v>
                </c:pt>
                <c:pt idx="187">
                  <c:v>-30.983026053938982</c:v>
                </c:pt>
                <c:pt idx="188">
                  <c:v>-31.212737099957113</c:v>
                </c:pt>
                <c:pt idx="189">
                  <c:v>-31.422985301259821</c:v>
                </c:pt>
                <c:pt idx="190">
                  <c:v>-31.61474579786686</c:v>
                </c:pt>
                <c:pt idx="191">
                  <c:v>-31.789099908311854</c:v>
                </c:pt>
                <c:pt idx="192">
                  <c:v>-31.947207714092112</c:v>
                </c:pt>
                <c:pt idx="193">
                  <c:v>-32.090281573748364</c:v>
                </c:pt>
                <c:pt idx="194">
                  <c:v>-32.219561776649854</c:v>
                </c:pt>
                <c:pt idx="195">
                  <c:v>-32.336295226255736</c:v>
                </c:pt>
                <c:pt idx="196">
                  <c:v>-32.441717710076482</c:v>
                </c:pt>
                <c:pt idx="197">
                  <c:v>-32.537040005819016</c:v>
                </c:pt>
                <c:pt idx="198">
                  <c:v>-32.62343781504304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9-4089-85F9-E86A5E4FA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32792"/>
        <c:axId val="240892400"/>
      </c:scatterChart>
      <c:valAx>
        <c:axId val="240832792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0892400"/>
        <c:crosses val="autoZero"/>
        <c:crossBetween val="midCat"/>
      </c:valAx>
      <c:valAx>
        <c:axId val="240892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0832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Radio" checked="Checked" firstButton="1" fmlaLink="$F$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38100</xdr:rowOff>
    </xdr:from>
    <xdr:to>
      <xdr:col>0</xdr:col>
      <xdr:colOff>7400925</xdr:colOff>
      <xdr:row>3</xdr:row>
      <xdr:rowOff>2781300</xdr:rowOff>
    </xdr:to>
    <xdr:pic>
      <xdr:nvPicPr>
        <xdr:cNvPr id="2" name="Picture 1" descr="ONHoriz-2DGreen-Lg.tif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609600"/>
          <a:ext cx="7315200" cy="2743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95250</xdr:rowOff>
        </xdr:from>
        <xdr:to>
          <xdr:col>7</xdr:col>
          <xdr:colOff>47625</xdr:colOff>
          <xdr:row>2</xdr:row>
          <xdr:rowOff>123825</xdr:rowOff>
        </xdr:to>
        <xdr:sp macro="" textlink="">
          <xdr:nvSpPr>
            <xdr:cNvPr id="4103" name="Option Butto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hu-H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Upper Feedback Resistor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12700</xdr:rowOff>
        </xdr:from>
        <xdr:to>
          <xdr:col>7</xdr:col>
          <xdr:colOff>47625</xdr:colOff>
          <xdr:row>4</xdr:row>
          <xdr:rowOff>38100</xdr:rowOff>
        </xdr:to>
        <xdr:sp macro="" textlink="">
          <xdr:nvSpPr>
            <xdr:cNvPr id="4104" name="Option Butto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hu-H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Lower Feedback Resistor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145676</xdr:rowOff>
    </xdr:from>
    <xdr:to>
      <xdr:col>4</xdr:col>
      <xdr:colOff>717178</xdr:colOff>
      <xdr:row>40</xdr:row>
      <xdr:rowOff>33617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310589</xdr:colOff>
      <xdr:row>0</xdr:row>
      <xdr:rowOff>137645</xdr:rowOff>
    </xdr:from>
    <xdr:to>
      <xdr:col>16</xdr:col>
      <xdr:colOff>104028</xdr:colOff>
      <xdr:row>15</xdr:row>
      <xdr:rowOff>25586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829238</xdr:colOff>
      <xdr:row>25</xdr:row>
      <xdr:rowOff>145676</xdr:rowOff>
    </xdr:from>
    <xdr:to>
      <xdr:col>9</xdr:col>
      <xdr:colOff>11211</xdr:colOff>
      <xdr:row>40</xdr:row>
      <xdr:rowOff>33617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989294</xdr:colOff>
      <xdr:row>20</xdr:row>
      <xdr:rowOff>59205</xdr:rowOff>
    </xdr:from>
    <xdr:to>
      <xdr:col>49</xdr:col>
      <xdr:colOff>429002</xdr:colOff>
      <xdr:row>34</xdr:row>
      <xdr:rowOff>126440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145679</xdr:colOff>
      <xdr:row>25</xdr:row>
      <xdr:rowOff>145677</xdr:rowOff>
    </xdr:from>
    <xdr:to>
      <xdr:col>15</xdr:col>
      <xdr:colOff>481853</xdr:colOff>
      <xdr:row>40</xdr:row>
      <xdr:rowOff>33618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182472</xdr:colOff>
      <xdr:row>0</xdr:row>
      <xdr:rowOff>25587</xdr:rowOff>
    </xdr:from>
    <xdr:to>
      <xdr:col>49</xdr:col>
      <xdr:colOff>552264</xdr:colOff>
      <xdr:row>14</xdr:row>
      <xdr:rowOff>92822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>
      <selection activeCell="A4" sqref="A4"/>
    </sheetView>
  </sheetViews>
  <sheetFormatPr defaultRowHeight="14.5" x14ac:dyDescent="0.35"/>
  <cols>
    <col min="1" max="1" width="111.453125" customWidth="1"/>
  </cols>
  <sheetData>
    <row r="1" spans="1:1" x14ac:dyDescent="0.35">
      <c r="A1" s="7" t="s">
        <v>134</v>
      </c>
    </row>
    <row r="2" spans="1:1" x14ac:dyDescent="0.35">
      <c r="A2" t="s">
        <v>116</v>
      </c>
    </row>
    <row r="3" spans="1:1" x14ac:dyDescent="0.35">
      <c r="A3" t="s">
        <v>114</v>
      </c>
    </row>
    <row r="4" spans="1:1" ht="276.75" customHeight="1" x14ac:dyDescent="0.35"/>
    <row r="5" spans="1:1" x14ac:dyDescent="0.35">
      <c r="A5" t="s">
        <v>115</v>
      </c>
    </row>
    <row r="7" spans="1:1" x14ac:dyDescent="0.35">
      <c r="A7" t="s">
        <v>132</v>
      </c>
    </row>
    <row r="8" spans="1:1" x14ac:dyDescent="0.35">
      <c r="A8" t="s">
        <v>133</v>
      </c>
    </row>
    <row r="9" spans="1:1" x14ac:dyDescent="0.35">
      <c r="A9" t="s">
        <v>135</v>
      </c>
    </row>
    <row r="26" spans="1:1" x14ac:dyDescent="0.35">
      <c r="A26" t="s">
        <v>117</v>
      </c>
    </row>
    <row r="27" spans="1:1" x14ac:dyDescent="0.35">
      <c r="A27" t="s">
        <v>118</v>
      </c>
    </row>
  </sheetData>
  <customSheetViews>
    <customSheetView guid="{25ED444C-8CCE-464F-9E26-1EDA12EA830D}">
      <selection activeCell="A6" sqref="A6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10"/>
  <sheetViews>
    <sheetView workbookViewId="0">
      <selection activeCell="F9" sqref="F9"/>
    </sheetView>
  </sheetViews>
  <sheetFormatPr defaultRowHeight="14.5" x14ac:dyDescent="0.35"/>
  <cols>
    <col min="1" max="1" width="20.54296875" style="16" customWidth="1"/>
    <col min="2" max="2" width="13" style="16" customWidth="1"/>
    <col min="3" max="5" width="8.7265625" style="16"/>
    <col min="6" max="6" width="39" style="16" customWidth="1"/>
    <col min="7" max="16384" width="8.7265625" style="16"/>
  </cols>
  <sheetData>
    <row r="1" spans="1:6" x14ac:dyDescent="0.35">
      <c r="A1" s="16" t="s">
        <v>31</v>
      </c>
    </row>
    <row r="2" spans="1:6" x14ac:dyDescent="0.35">
      <c r="B2" s="16" t="s">
        <v>32</v>
      </c>
      <c r="C2" s="16" t="s">
        <v>33</v>
      </c>
      <c r="D2" s="16" t="s">
        <v>34</v>
      </c>
      <c r="E2" s="16" t="s">
        <v>36</v>
      </c>
    </row>
    <row r="3" spans="1:6" x14ac:dyDescent="0.35">
      <c r="A3" s="16" t="s">
        <v>0</v>
      </c>
      <c r="B3" s="17">
        <v>8</v>
      </c>
      <c r="C3" s="17">
        <v>12</v>
      </c>
      <c r="D3" s="17">
        <v>32</v>
      </c>
      <c r="E3" s="18" t="s">
        <v>37</v>
      </c>
    </row>
    <row r="4" spans="1:6" x14ac:dyDescent="0.35">
      <c r="A4" s="16" t="s">
        <v>1</v>
      </c>
      <c r="B4" s="18"/>
      <c r="C4" s="17">
        <v>11</v>
      </c>
      <c r="D4" s="18"/>
      <c r="E4" s="18" t="s">
        <v>37</v>
      </c>
      <c r="F4" s="19"/>
    </row>
    <row r="5" spans="1:6" x14ac:dyDescent="0.35">
      <c r="A5" s="16" t="s">
        <v>2</v>
      </c>
      <c r="B5" s="18"/>
      <c r="C5" s="18"/>
      <c r="D5" s="17">
        <v>1</v>
      </c>
      <c r="E5" s="18" t="s">
        <v>38</v>
      </c>
    </row>
    <row r="6" spans="1:6" x14ac:dyDescent="0.35">
      <c r="A6" s="16" t="s">
        <v>8</v>
      </c>
      <c r="B6" s="20">
        <v>1800</v>
      </c>
      <c r="C6" s="20">
        <v>2000</v>
      </c>
      <c r="D6" s="20">
        <v>2200</v>
      </c>
      <c r="E6" s="18" t="s">
        <v>46</v>
      </c>
    </row>
    <row r="7" spans="1:6" x14ac:dyDescent="0.35">
      <c r="A7" s="16" t="s">
        <v>6</v>
      </c>
      <c r="B7" s="20"/>
      <c r="C7" s="20">
        <v>68</v>
      </c>
      <c r="D7" s="20"/>
      <c r="E7" s="18" t="s">
        <v>136</v>
      </c>
    </row>
    <row r="8" spans="1:6" x14ac:dyDescent="0.35">
      <c r="A8" s="16" t="s">
        <v>35</v>
      </c>
      <c r="B8" s="20">
        <v>85</v>
      </c>
      <c r="C8" s="21">
        <v>88</v>
      </c>
      <c r="D8" s="20">
        <v>90</v>
      </c>
      <c r="E8" s="18" t="s">
        <v>39</v>
      </c>
      <c r="F8" s="19" t="str">
        <f>IF(Dconv_max*100&gt;Dmax_min,"Required Dmax is higher than device Dmax","")</f>
        <v/>
      </c>
    </row>
    <row r="9" spans="1:6" x14ac:dyDescent="0.35">
      <c r="A9" s="16" t="s">
        <v>40</v>
      </c>
      <c r="B9" s="20"/>
      <c r="C9" s="21">
        <v>6.3</v>
      </c>
      <c r="D9" s="20"/>
      <c r="E9" s="18" t="s">
        <v>37</v>
      </c>
    </row>
    <row r="10" spans="1:6" x14ac:dyDescent="0.35">
      <c r="A10" s="16" t="s">
        <v>44</v>
      </c>
      <c r="B10" s="20">
        <v>360</v>
      </c>
      <c r="C10" s="21">
        <v>400</v>
      </c>
      <c r="D10" s="20">
        <v>440</v>
      </c>
      <c r="E10" s="18" t="s">
        <v>45</v>
      </c>
    </row>
  </sheetData>
  <customSheetViews>
    <customSheetView guid="{25ED444C-8CCE-464F-9E26-1EDA12EA830D}">
      <selection activeCell="G32" sqref="G32"/>
      <pageMargins left="0.7" right="0.7" top="0.75" bottom="0.75" header="0.3" footer="0.3"/>
    </customSheetView>
  </customSheetViews>
  <conditionalFormatting sqref="F4 F8">
    <cfRule type="notContainsBlanks" dxfId="1" priority="3">
      <formula>LEN(TRIM(F4))&gt;0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F10"/>
  <sheetViews>
    <sheetView zoomScaleNormal="100" workbookViewId="0">
      <selection activeCell="B8" sqref="B8"/>
    </sheetView>
  </sheetViews>
  <sheetFormatPr defaultRowHeight="14.5" x14ac:dyDescent="0.35"/>
  <cols>
    <col min="1" max="1" width="17" customWidth="1"/>
    <col min="3" max="3" width="9.7265625" customWidth="1"/>
    <col min="4" max="6" width="9.1796875" hidden="1" customWidth="1"/>
  </cols>
  <sheetData>
    <row r="1" spans="1:6" x14ac:dyDescent="0.35">
      <c r="A1" t="s">
        <v>41</v>
      </c>
      <c r="F1" s="8">
        <v>1</v>
      </c>
    </row>
    <row r="7" spans="1:6" x14ac:dyDescent="0.35">
      <c r="A7" t="str">
        <f>IF(F1=1,"Rupper","Rlower")</f>
        <v>Rupper</v>
      </c>
      <c r="B7" s="2">
        <v>46400</v>
      </c>
      <c r="C7" s="1" t="s">
        <v>43</v>
      </c>
      <c r="D7" s="8">
        <f>IF(F1=1,B7,B9)</f>
        <v>46400</v>
      </c>
    </row>
    <row r="8" spans="1:6" x14ac:dyDescent="0.35">
      <c r="A8" t="str">
        <f>IF(F1=1,"Suggested Rlower","Suggested Rupper")</f>
        <v>Suggested Rlower</v>
      </c>
      <c r="B8" s="3">
        <f>IF(F1=1,B7/(Vout/1.2-1),B7*(Vout/1.2-1))</f>
        <v>5681.6326530612241</v>
      </c>
      <c r="C8" s="1" t="s">
        <v>43</v>
      </c>
      <c r="D8" s="8">
        <f>IF(F1=1,B9,B7)</f>
        <v>5620</v>
      </c>
    </row>
    <row r="9" spans="1:6" x14ac:dyDescent="0.35">
      <c r="A9" t="str">
        <f>IF(F1=1,"Rlower used","Rupper used")</f>
        <v>Rlower used</v>
      </c>
      <c r="B9" s="2">
        <v>5620</v>
      </c>
      <c r="C9" s="1" t="s">
        <v>43</v>
      </c>
    </row>
    <row r="10" spans="1:6" x14ac:dyDescent="0.35">
      <c r="A10" t="s">
        <v>42</v>
      </c>
      <c r="B10" s="3">
        <f>IF(F1=1,1.2*(B7+B9)/B9,1.2*(B7+B9)/B7)</f>
        <v>11.10747330960854</v>
      </c>
      <c r="C10" s="4" t="s">
        <v>37</v>
      </c>
    </row>
  </sheetData>
  <customSheetViews>
    <customSheetView guid="{25ED444C-8CCE-464F-9E26-1EDA12EA830D}" scale="190">
      <selection activeCell="A4" sqref="A4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3" r:id="rId5" name="Option Button 7">
              <controlPr defaultSize="0" autoFill="0" autoLine="0" autoPict="0">
                <anchor moveWithCells="1">
                  <from>
                    <xdr:col>2</xdr:col>
                    <xdr:colOff>0</xdr:colOff>
                    <xdr:row>1</xdr:row>
                    <xdr:rowOff>95250</xdr:rowOff>
                  </from>
                  <to>
                    <xdr:col>7</xdr:col>
                    <xdr:colOff>50800</xdr:colOff>
                    <xdr:row>2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6" name="Option Button 8">
              <controlPr defaultSize="0" autoFill="0" autoLine="0" autoPict="0">
                <anchor moveWithCells="1">
                  <from>
                    <xdr:col>2</xdr:col>
                    <xdr:colOff>0</xdr:colOff>
                    <xdr:row>3</xdr:row>
                    <xdr:rowOff>12700</xdr:rowOff>
                  </from>
                  <to>
                    <xdr:col>7</xdr:col>
                    <xdr:colOff>50800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E11"/>
  <sheetViews>
    <sheetView workbookViewId="0">
      <selection activeCell="E2" sqref="E2"/>
    </sheetView>
  </sheetViews>
  <sheetFormatPr defaultRowHeight="14.5" x14ac:dyDescent="0.35"/>
  <cols>
    <col min="1" max="1" width="49.26953125" customWidth="1"/>
  </cols>
  <sheetData>
    <row r="2" spans="1:5" x14ac:dyDescent="0.35">
      <c r="A2" t="s">
        <v>51</v>
      </c>
      <c r="B2" s="2">
        <v>90</v>
      </c>
      <c r="C2" t="s">
        <v>39</v>
      </c>
      <c r="D2" t="s">
        <v>56</v>
      </c>
      <c r="E2" s="3">
        <f>SQRT(B3^2+B8^2/3)</f>
        <v>1.5285953166449942</v>
      </c>
    </row>
    <row r="3" spans="1:5" x14ac:dyDescent="0.35">
      <c r="A3" t="s">
        <v>47</v>
      </c>
      <c r="B3" s="3">
        <f>Ioutmax*Vout/(Vin_min*B2/100)</f>
        <v>1.5277777777777777</v>
      </c>
      <c r="C3" t="s">
        <v>38</v>
      </c>
      <c r="D3" t="s">
        <v>57</v>
      </c>
      <c r="E3" s="3">
        <f>B8/2+B3</f>
        <v>1.5710678210678211</v>
      </c>
    </row>
    <row r="4" spans="1:5" x14ac:dyDescent="0.35">
      <c r="A4" t="s">
        <v>49</v>
      </c>
      <c r="B4" s="2">
        <v>20</v>
      </c>
      <c r="C4" t="s">
        <v>39</v>
      </c>
    </row>
    <row r="5" spans="1:5" x14ac:dyDescent="0.35">
      <c r="A5" t="s">
        <v>50</v>
      </c>
      <c r="B5" s="3">
        <f>B3*B4/100</f>
        <v>0.30555555555555552</v>
      </c>
      <c r="C5" t="s">
        <v>38</v>
      </c>
    </row>
    <row r="6" spans="1:5" x14ac:dyDescent="0.35">
      <c r="A6" t="s">
        <v>52</v>
      </c>
      <c r="B6" s="3">
        <f>B2/100*Vin_min^2*(1-Vin_min/Vout)/(B4/100*Fsw_min*1000*(Vout*Ioutmax))*1000000</f>
        <v>3.9669421487603307</v>
      </c>
      <c r="C6" s="1" t="s">
        <v>53</v>
      </c>
    </row>
    <row r="7" spans="1:5" x14ac:dyDescent="0.35">
      <c r="A7" t="s">
        <v>54</v>
      </c>
      <c r="B7" s="2">
        <v>14</v>
      </c>
      <c r="C7" s="1" t="s">
        <v>53</v>
      </c>
    </row>
    <row r="8" spans="1:5" x14ac:dyDescent="0.35">
      <c r="A8" t="s">
        <v>55</v>
      </c>
      <c r="B8" s="3">
        <f>Vin_min*(1-Vin_min/Vout)/(Fsw_min*B7/1000)</f>
        <v>8.6580086580086577E-2</v>
      </c>
      <c r="C8" s="4" t="s">
        <v>38</v>
      </c>
      <c r="D8" t="str">
        <f>IF(B8&gt;B5,"Inductor smaller than recommended, ripple is higher than requested","")</f>
        <v/>
      </c>
    </row>
    <row r="9" spans="1:5" x14ac:dyDescent="0.35">
      <c r="C9" s="4"/>
    </row>
    <row r="11" spans="1:5" s="5" customFormat="1" x14ac:dyDescent="0.35">
      <c r="A11" s="5" t="s">
        <v>3</v>
      </c>
      <c r="B11" s="8">
        <f>B7/1000000</f>
        <v>1.4E-5</v>
      </c>
    </row>
  </sheetData>
  <customSheetViews>
    <customSheetView guid="{25ED444C-8CCE-464F-9E26-1EDA12EA830D}">
      <selection activeCell="B3" sqref="B3"/>
      <pageMargins left="0.7" right="0.7" top="0.75" bottom="0.75" header="0.3" footer="0.3"/>
    </customSheetView>
  </customSheetViews>
  <conditionalFormatting sqref="D8">
    <cfRule type="notContainsBlanks" priority="1">
      <formula>LEN(TRIM(D8))&gt;0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C15"/>
  <sheetViews>
    <sheetView workbookViewId="0">
      <selection activeCell="B7" sqref="B7"/>
    </sheetView>
  </sheetViews>
  <sheetFormatPr defaultRowHeight="14.5" x14ac:dyDescent="0.35"/>
  <cols>
    <col min="1" max="1" width="29" customWidth="1"/>
    <col min="2" max="2" width="9.54296875" customWidth="1"/>
  </cols>
  <sheetData>
    <row r="2" spans="1:3" x14ac:dyDescent="0.35">
      <c r="A2" t="s">
        <v>69</v>
      </c>
      <c r="B2" s="2">
        <v>290</v>
      </c>
      <c r="C2" s="1" t="s">
        <v>83</v>
      </c>
    </row>
    <row r="3" spans="1:3" x14ac:dyDescent="0.35">
      <c r="A3" t="s">
        <v>70</v>
      </c>
      <c r="B3" s="2">
        <v>25</v>
      </c>
      <c r="C3" t="s">
        <v>62</v>
      </c>
    </row>
    <row r="4" spans="1:3" x14ac:dyDescent="0.35">
      <c r="A4" t="s">
        <v>86</v>
      </c>
      <c r="B4" s="3">
        <f>Vin_min</f>
        <v>8</v>
      </c>
      <c r="C4" t="s">
        <v>37</v>
      </c>
    </row>
    <row r="5" spans="1:3" x14ac:dyDescent="0.35">
      <c r="A5" t="s">
        <v>81</v>
      </c>
      <c r="B5" s="3">
        <f>Ioutmax*Dconv_max/(B2*Fsw_min)+B3*(Ioutmax/(1-Dconv_max)+Iripple/2)</f>
        <v>35.457251604717122</v>
      </c>
      <c r="C5" t="s">
        <v>45</v>
      </c>
    </row>
    <row r="6" spans="1:3" x14ac:dyDescent="0.35">
      <c r="A6" t="s">
        <v>82</v>
      </c>
      <c r="B6" s="3">
        <f>Ioutmax*SQRT(Dconv_max/(1-Dconv_max)+Dconv_max/12*((1-Dconv_max)/(Lo/(Rout*Tsw)))^2)</f>
        <v>0.61388540263600766</v>
      </c>
      <c r="C6" t="s">
        <v>38</v>
      </c>
    </row>
    <row r="14" spans="1:3" x14ac:dyDescent="0.35">
      <c r="A14" t="s">
        <v>4</v>
      </c>
      <c r="C14" s="9">
        <f>B2*10^-6</f>
        <v>2.9E-4</v>
      </c>
    </row>
    <row r="15" spans="1:3" x14ac:dyDescent="0.35">
      <c r="A15" t="s">
        <v>5</v>
      </c>
      <c r="C15" s="9">
        <f>B3*10^-3</f>
        <v>2.5000000000000001E-2</v>
      </c>
    </row>
  </sheetData>
  <customSheetViews>
    <customSheetView guid="{25ED444C-8CCE-464F-9E26-1EDA12EA830D}">
      <selection activeCell="B5" sqref="B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2:F11"/>
  <sheetViews>
    <sheetView workbookViewId="0">
      <selection activeCell="E6" sqref="E6"/>
    </sheetView>
  </sheetViews>
  <sheetFormatPr defaultRowHeight="14.5" x14ac:dyDescent="0.35"/>
  <cols>
    <col min="1" max="1" width="36.54296875" customWidth="1"/>
    <col min="4" max="4" width="45.7265625" customWidth="1"/>
  </cols>
  <sheetData>
    <row r="2" spans="1:6" x14ac:dyDescent="0.35">
      <c r="A2" t="s">
        <v>58</v>
      </c>
      <c r="B2" s="3">
        <f>IPeakL</f>
        <v>1.5710678210678211</v>
      </c>
      <c r="C2" t="s">
        <v>38</v>
      </c>
    </row>
    <row r="3" spans="1:6" x14ac:dyDescent="0.35">
      <c r="A3" t="s">
        <v>59</v>
      </c>
      <c r="B3" s="2">
        <v>8</v>
      </c>
      <c r="C3" t="s">
        <v>38</v>
      </c>
    </row>
    <row r="4" spans="1:6" x14ac:dyDescent="0.35">
      <c r="A4" t="s">
        <v>60</v>
      </c>
      <c r="B4" s="3">
        <f>vcl_min/B3</f>
        <v>45</v>
      </c>
      <c r="C4" t="s">
        <v>62</v>
      </c>
    </row>
    <row r="5" spans="1:6" x14ac:dyDescent="0.35">
      <c r="A5" t="s">
        <v>61</v>
      </c>
      <c r="B5" s="2">
        <v>50</v>
      </c>
      <c r="C5" t="s">
        <v>62</v>
      </c>
      <c r="D5" t="s">
        <v>63</v>
      </c>
      <c r="E5" s="3">
        <f>Dconv_max*IrmsL^2*B5/1000</f>
        <v>3.1862776937304674E-2</v>
      </c>
      <c r="F5" t="s">
        <v>68</v>
      </c>
    </row>
    <row r="6" spans="1:6" x14ac:dyDescent="0.35">
      <c r="A6" t="s">
        <v>66</v>
      </c>
      <c r="B6" s="3">
        <f>vcl_min/B5</f>
        <v>7.2</v>
      </c>
      <c r="C6" t="s">
        <v>38</v>
      </c>
    </row>
    <row r="7" spans="1:6" x14ac:dyDescent="0.35">
      <c r="A7" t="s">
        <v>67</v>
      </c>
      <c r="B7" s="3">
        <f>vcl_max/B5</f>
        <v>8.8000000000000007</v>
      </c>
      <c r="C7" t="s">
        <v>38</v>
      </c>
    </row>
    <row r="11" spans="1:6" x14ac:dyDescent="0.35">
      <c r="B11" s="6">
        <f>B5/1000</f>
        <v>0.05</v>
      </c>
    </row>
  </sheetData>
  <customSheetViews>
    <customSheetView guid="{25ED444C-8CCE-464F-9E26-1EDA12EA830D}">
      <selection activeCell="B8" sqref="B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2:C6"/>
  <sheetViews>
    <sheetView workbookViewId="0">
      <selection activeCell="B4" sqref="B4"/>
    </sheetView>
  </sheetViews>
  <sheetFormatPr defaultRowHeight="14.5" x14ac:dyDescent="0.35"/>
  <cols>
    <col min="1" max="1" width="26.7265625" customWidth="1"/>
  </cols>
  <sheetData>
    <row r="2" spans="1:3" x14ac:dyDescent="0.35">
      <c r="A2" t="s">
        <v>71</v>
      </c>
      <c r="B2" s="2"/>
      <c r="C2" s="1" t="s">
        <v>83</v>
      </c>
    </row>
    <row r="3" spans="1:3" x14ac:dyDescent="0.35">
      <c r="A3" t="s">
        <v>70</v>
      </c>
      <c r="B3" s="2"/>
      <c r="C3" t="s">
        <v>62</v>
      </c>
    </row>
    <row r="4" spans="1:3" x14ac:dyDescent="0.35">
      <c r="A4" t="s">
        <v>86</v>
      </c>
      <c r="B4" s="3"/>
      <c r="C4" t="s">
        <v>37</v>
      </c>
    </row>
    <row r="5" spans="1:3" x14ac:dyDescent="0.35">
      <c r="A5" t="s">
        <v>84</v>
      </c>
      <c r="B5" s="3"/>
      <c r="C5" t="s">
        <v>45</v>
      </c>
    </row>
    <row r="6" spans="1:3" x14ac:dyDescent="0.35">
      <c r="A6" t="s">
        <v>85</v>
      </c>
      <c r="B6" s="3"/>
      <c r="C6" t="s">
        <v>38</v>
      </c>
    </row>
  </sheetData>
  <customSheetViews>
    <customSheetView guid="{25ED444C-8CCE-464F-9E26-1EDA12EA830D}">
      <selection activeCell="A19" sqref="A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5"/>
  <sheetViews>
    <sheetView workbookViewId="0">
      <selection activeCell="B3" sqref="B3"/>
    </sheetView>
  </sheetViews>
  <sheetFormatPr defaultRowHeight="14.5" x14ac:dyDescent="0.35"/>
  <cols>
    <col min="1" max="1" width="24" customWidth="1"/>
  </cols>
  <sheetData>
    <row r="1" spans="1:3" x14ac:dyDescent="0.35">
      <c r="A1" t="s">
        <v>77</v>
      </c>
      <c r="B1" s="2">
        <v>0.6</v>
      </c>
      <c r="C1" t="s">
        <v>37</v>
      </c>
    </row>
    <row r="2" spans="1:3" x14ac:dyDescent="0.35">
      <c r="A2" t="s">
        <v>79</v>
      </c>
      <c r="B2" s="3">
        <f>Vout</f>
        <v>11</v>
      </c>
      <c r="C2" t="s">
        <v>37</v>
      </c>
    </row>
    <row r="3" spans="1:3" x14ac:dyDescent="0.35">
      <c r="A3" t="s">
        <v>80</v>
      </c>
      <c r="B3" s="3">
        <f>Ioutmax</f>
        <v>1</v>
      </c>
      <c r="C3" t="s">
        <v>38</v>
      </c>
    </row>
    <row r="4" spans="1:3" x14ac:dyDescent="0.35">
      <c r="A4" t="s">
        <v>58</v>
      </c>
      <c r="B4" s="3">
        <f>IPeakL</f>
        <v>1.5710678210678211</v>
      </c>
      <c r="C4" t="s">
        <v>38</v>
      </c>
    </row>
    <row r="5" spans="1:3" x14ac:dyDescent="0.35">
      <c r="A5" t="s">
        <v>78</v>
      </c>
      <c r="B5" s="3">
        <f>B3*Vf</f>
        <v>0.6</v>
      </c>
      <c r="C5" t="s">
        <v>68</v>
      </c>
    </row>
  </sheetData>
  <customSheetViews>
    <customSheetView guid="{25ED444C-8CCE-464F-9E26-1EDA12EA830D}">
      <selection activeCell="B6" sqref="B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D14"/>
  <sheetViews>
    <sheetView tabSelected="1" workbookViewId="0">
      <selection activeCell="D8" sqref="D8"/>
    </sheetView>
  </sheetViews>
  <sheetFormatPr defaultRowHeight="14.5" x14ac:dyDescent="0.35"/>
  <cols>
    <col min="1" max="1" width="78" bestFit="1" customWidth="1"/>
  </cols>
  <sheetData>
    <row r="1" spans="1:4" ht="29" x14ac:dyDescent="0.35">
      <c r="A1" s="13" t="s">
        <v>131</v>
      </c>
      <c r="B1" s="2">
        <v>12</v>
      </c>
      <c r="C1" t="s">
        <v>87</v>
      </c>
      <c r="D1" s="14" t="str">
        <f>IF(B1*10^-9*Fsw_max*10^3&gt;35*10^-3,"WARNING:  Total Gate Charge is higher than VDRV minimum 35 mA capability at this frequency", "")</f>
        <v/>
      </c>
    </row>
    <row r="2" spans="1:4" x14ac:dyDescent="0.35">
      <c r="A2" t="s">
        <v>76</v>
      </c>
      <c r="B2" s="2">
        <v>20.8</v>
      </c>
      <c r="C2" t="s">
        <v>62</v>
      </c>
    </row>
    <row r="3" spans="1:4" x14ac:dyDescent="0.35">
      <c r="A3" t="s">
        <v>72</v>
      </c>
      <c r="B3" s="3">
        <f>MAX(Vout+Vf,Vin_max)</f>
        <v>32</v>
      </c>
      <c r="C3" t="s">
        <v>37</v>
      </c>
    </row>
    <row r="4" spans="1:4" x14ac:dyDescent="0.35">
      <c r="A4" t="s">
        <v>88</v>
      </c>
      <c r="B4" s="2">
        <v>35</v>
      </c>
      <c r="C4" t="s">
        <v>90</v>
      </c>
    </row>
    <row r="5" spans="1:4" x14ac:dyDescent="0.35">
      <c r="A5" t="s">
        <v>89</v>
      </c>
      <c r="B5" s="2">
        <v>35</v>
      </c>
      <c r="C5" t="s">
        <v>90</v>
      </c>
    </row>
    <row r="6" spans="1:4" x14ac:dyDescent="0.35">
      <c r="A6" t="s">
        <v>74</v>
      </c>
      <c r="B6" s="3">
        <f>(B4*10^-9*(IavgL-Iripple/2)+B5*10^-9*(IavgL+Iripple/2))*Fsw_min*10^3*Vin_max</f>
        <v>6.1599999999999993</v>
      </c>
      <c r="C6" t="s">
        <v>68</v>
      </c>
      <c r="D6">
        <f>(B4*10^-9*(IavgL-0.1651/2)+B5*10^-9*(IavgL+0.1651/2))*2000*10^3*Vin_max</f>
        <v>6.8444444444444441</v>
      </c>
    </row>
    <row r="7" spans="1:4" x14ac:dyDescent="0.35">
      <c r="A7" t="s">
        <v>75</v>
      </c>
      <c r="B7" s="3">
        <f>IrmsL^2*Dconv_max*B2*10^-3</f>
        <v>1.3254915205918746E-2</v>
      </c>
      <c r="C7" t="s">
        <v>68</v>
      </c>
      <c r="D7">
        <f>IrmsL^2*0.255*B2*10^-3</f>
        <v>1.2393345717534027E-2</v>
      </c>
    </row>
    <row r="8" spans="1:4" x14ac:dyDescent="0.35">
      <c r="A8" t="s">
        <v>73</v>
      </c>
      <c r="B8" s="3">
        <f>B7+B6</f>
        <v>6.1732549152059182</v>
      </c>
      <c r="C8" t="s">
        <v>68</v>
      </c>
      <c r="D8">
        <f>D7+D6</f>
        <v>6.8568377901619781</v>
      </c>
    </row>
    <row r="12" spans="1:4" x14ac:dyDescent="0.35">
      <c r="B12">
        <f>24/65</f>
        <v>0.36923076923076925</v>
      </c>
    </row>
    <row r="13" spans="1:4" x14ac:dyDescent="0.35">
      <c r="B13">
        <f>0.255*0.4^2*(B2/1000)</f>
        <v>8.4864000000000011E-4</v>
      </c>
    </row>
    <row r="14" spans="1:4" x14ac:dyDescent="0.35">
      <c r="B14">
        <f>13.5*0.4*11*10^-9*2*10^6</f>
        <v>0.11880000000000002</v>
      </c>
    </row>
  </sheetData>
  <customSheetViews>
    <customSheetView guid="{25ED444C-8CCE-464F-9E26-1EDA12EA830D}">
      <selection activeCell="B9" sqref="B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T202"/>
  <sheetViews>
    <sheetView zoomScale="85" zoomScaleNormal="85" workbookViewId="0">
      <selection activeCell="O24" sqref="O24"/>
    </sheetView>
  </sheetViews>
  <sheetFormatPr defaultRowHeight="14.5" x14ac:dyDescent="0.35"/>
  <cols>
    <col min="1" max="1" width="27.453125" customWidth="1"/>
    <col min="2" max="2" width="12.26953125" bestFit="1" customWidth="1"/>
    <col min="5" max="5" width="44.54296875" customWidth="1"/>
    <col min="9" max="9" width="9.1796875" style="5" customWidth="1"/>
    <col min="10" max="10" width="9.1796875" style="5"/>
    <col min="11" max="11" width="12.26953125" style="5" bestFit="1" customWidth="1"/>
    <col min="12" max="12" width="12.26953125" style="5" customWidth="1"/>
    <col min="13" max="16" width="9.1796875" style="5"/>
    <col min="17" max="17" width="15.7265625" style="5" customWidth="1"/>
    <col min="18" max="18" width="15.7265625" style="10" customWidth="1"/>
    <col min="19" max="46" width="0.1796875" style="10" customWidth="1"/>
    <col min="47" max="48" width="15.7265625" customWidth="1"/>
  </cols>
  <sheetData>
    <row r="1" spans="1:46" x14ac:dyDescent="0.35">
      <c r="A1" t="s">
        <v>104</v>
      </c>
      <c r="B1" s="2">
        <v>2000</v>
      </c>
      <c r="C1" t="s">
        <v>94</v>
      </c>
      <c r="E1" t="s">
        <v>91</v>
      </c>
      <c r="S1" s="10" t="s">
        <v>7</v>
      </c>
      <c r="T1" s="10">
        <f>'2. Design Parameters'!C3/'2. Design Parameters'!C4</f>
        <v>1.0909090909090908</v>
      </c>
      <c r="V1" s="10" t="s">
        <v>10</v>
      </c>
      <c r="W1" s="10">
        <f>PI()/T2</f>
        <v>6283185.307179587</v>
      </c>
      <c r="Z1" s="10" t="s">
        <v>27</v>
      </c>
      <c r="AA1" s="10" t="s">
        <v>20</v>
      </c>
      <c r="AB1" s="10" t="s">
        <v>21</v>
      </c>
      <c r="AC1" s="10" t="s">
        <v>22</v>
      </c>
      <c r="AD1" s="10" t="s">
        <v>23</v>
      </c>
      <c r="AE1" s="10" t="s">
        <v>24</v>
      </c>
      <c r="AF1" s="10" t="s">
        <v>19</v>
      </c>
      <c r="AG1" s="10" t="s">
        <v>25</v>
      </c>
      <c r="AH1" s="10" t="s">
        <v>26</v>
      </c>
      <c r="AI1" s="11" t="s">
        <v>28</v>
      </c>
      <c r="AJ1" s="11" t="s">
        <v>29</v>
      </c>
      <c r="AK1" s="11" t="s">
        <v>98</v>
      </c>
      <c r="AL1" s="11" t="s">
        <v>99</v>
      </c>
      <c r="AM1" s="11" t="s">
        <v>100</v>
      </c>
      <c r="AN1" s="11" t="s">
        <v>101</v>
      </c>
      <c r="AO1" s="11" t="s">
        <v>103</v>
      </c>
      <c r="AP1" s="10" t="s">
        <v>26</v>
      </c>
      <c r="AQ1" s="11" t="s">
        <v>28</v>
      </c>
      <c r="AR1" s="11" t="s">
        <v>29</v>
      </c>
      <c r="AS1" s="11" t="s">
        <v>29</v>
      </c>
      <c r="AT1" s="11" t="s">
        <v>28</v>
      </c>
    </row>
    <row r="2" spans="1:46" x14ac:dyDescent="0.35">
      <c r="A2" t="s">
        <v>110</v>
      </c>
      <c r="B2" s="3">
        <f>INDEX(AG2:AG202,MATCH(B1,Z2:Z202,1))</f>
        <v>3.9827903432586091</v>
      </c>
      <c r="E2" t="s">
        <v>92</v>
      </c>
      <c r="F2" s="2">
        <v>1</v>
      </c>
      <c r="G2" t="s">
        <v>94</v>
      </c>
      <c r="S2" s="10" t="s">
        <v>9</v>
      </c>
      <c r="T2" s="10">
        <f>1/('2. Design Parameters'!C6*1000)</f>
        <v>4.9999999999999998E-7</v>
      </c>
      <c r="U2" s="10" t="s">
        <v>20</v>
      </c>
      <c r="V2" s="10" t="s">
        <v>11</v>
      </c>
      <c r="W2" s="10">
        <f>1/(PI()*(T5*T1-0.5))</f>
        <v>0.13709509585049717</v>
      </c>
      <c r="Y2" s="10">
        <v>0</v>
      </c>
      <c r="Z2" s="10">
        <f>10^(LOG($F$3/$F$2,10)*Y2/200)</f>
        <v>1</v>
      </c>
      <c r="AA2" s="10" t="str">
        <f>IMPRODUCT(COMPLEX(0,1),2*PI()*Z2)</f>
        <v>6,28318530717959i</v>
      </c>
      <c r="AB2" s="10">
        <f>$T$6/'5. Current Sense Resistor'!$B$11</f>
        <v>220</v>
      </c>
      <c r="AC2" s="10">
        <f>1/(2*$T$3+$T$6*$T$2/('4. Boost Inductor'!$B$11*$T$3^2)*($T$5))</f>
        <v>0.32865720058048542</v>
      </c>
      <c r="AD2" s="10" t="str">
        <f t="shared" ref="AD2:AD65" si="0">IMDIV(IMSUM(1,IMDIV(AA2,$W$3)),IMSUM(1,IMDIV(AA2,$W$5)))</f>
        <v>0,999917205763414-0,00907600911241358i</v>
      </c>
      <c r="AE2" s="10" t="str">
        <f t="shared" ref="AE2:AE65" si="1">IMDIV(IMSUM(1,IMDIV(IMPRODUCT(-1,AA2),$W$4)),IMSUM(1,IMDIV(AA2,$W$1*$W$2),IMDIV(IMPOWER(AA2,2),$W$1^2)))</f>
        <v>0,999999999898781-0,0000140137245624251i</v>
      </c>
      <c r="AF2" s="10" t="str">
        <f>IMPRODUCT(AB$2,AC2,AD2,AE2)</f>
        <v>72,2985885212188-0,657250236980683i</v>
      </c>
      <c r="AG2" s="10">
        <f>IMABS(AF2)</f>
        <v>72.301575916673642</v>
      </c>
      <c r="AH2" s="10">
        <f t="shared" ref="AH2:AH56" si="2">IMARGUMENT(AF2)</f>
        <v>-9.0905250819733555E-3</v>
      </c>
      <c r="AI2" s="10">
        <f t="shared" ref="AI2:AI56" si="3">AH2/(PI())*180</f>
        <v>-0.52084872075488997</v>
      </c>
      <c r="AJ2" s="10">
        <f t="shared" ref="AJ2:AJ56" si="4">20*LOG(AG2,10)</f>
        <v>37.182955269391684</v>
      </c>
      <c r="AK2" s="10">
        <f>-Rlower/(Rlower+Rupper)*gm*R0</f>
        <v>-388.92733564013844</v>
      </c>
      <c r="AL2" s="10" t="str">
        <f t="shared" ref="AL2:AL65" si="5">IMDIV(IMSUM(1,IMDIV(AA2,wz1e)),IMSUM(1,IMDIV(AA2,wp1e)))</f>
        <v>0,983642738781979-0,125730103679586i</v>
      </c>
      <c r="AM2" s="10" t="str">
        <f t="shared" ref="AM2:AM65" si="6">IMDIV(IMSUM(1,IMDIV(AA2,wz2e)),IMSUM(1,IMDIV(AA2,wp2e)))</f>
        <v>0,999999897352454-0,000318826176679428i</v>
      </c>
      <c r="AN2" s="10" t="str">
        <f>IMPRODUCT($AK$2,AL2,AM2)</f>
        <v>-382,549919786887+49,0218411259211i</v>
      </c>
      <c r="AO2" s="10">
        <f>IMABS(AN2)</f>
        <v>385.67808083468879</v>
      </c>
      <c r="AP2" s="10">
        <f>IMARGUMENT(AN2)</f>
        <v>3.014142298889507</v>
      </c>
      <c r="AQ2" s="10">
        <f>AP2/(PI())*180</f>
        <v>172.69763257822828</v>
      </c>
      <c r="AR2" s="10">
        <f>20*LOG(AO2,10)</f>
        <v>51.724499147917477</v>
      </c>
      <c r="AS2" s="10">
        <f>AR2+AJ2</f>
        <v>88.907454417309168</v>
      </c>
      <c r="AT2" s="10">
        <f>AQ2+AI2</f>
        <v>172.1767838574734</v>
      </c>
    </row>
    <row r="3" spans="1:46" x14ac:dyDescent="0.35">
      <c r="A3" t="s">
        <v>106</v>
      </c>
      <c r="B3" s="2">
        <v>500</v>
      </c>
      <c r="C3" t="s">
        <v>94</v>
      </c>
      <c r="E3" t="s">
        <v>93</v>
      </c>
      <c r="F3" s="2">
        <v>1000000</v>
      </c>
      <c r="G3" t="s">
        <v>94</v>
      </c>
      <c r="S3" s="10" t="s">
        <v>15</v>
      </c>
      <c r="T3" s="10">
        <f>'2. Design Parameters'!C4/'2. Design Parameters'!C3</f>
        <v>0.91666666666666663</v>
      </c>
      <c r="V3" s="10" t="s">
        <v>12</v>
      </c>
      <c r="W3" s="10">
        <f>1/('6. Output Capacitors'!C15*'6. Output Capacitors'!C14)</f>
        <v>137931.03448275861</v>
      </c>
      <c r="Y3" s="10">
        <v>1</v>
      </c>
      <c r="Z3" s="10">
        <f t="shared" ref="Z3:Z66" si="7">10^(LOG($F$3/$F$2,10)*Y3/200)</f>
        <v>1.0715193052376064</v>
      </c>
      <c r="AA3" s="10" t="str">
        <f t="shared" ref="AA3:AA66" si="8">IMPRODUCT(COMPLEX(0,1),2*PI()*Z3)</f>
        <v>6,73255435502821i</v>
      </c>
      <c r="AC3" s="10">
        <f>1/(2*$T$3+$T$6*$T$2/('4. Boost Inductor'!$B$11*$T$3^2)*($T$5))</f>
        <v>0.32865720058048542</v>
      </c>
      <c r="AD3" s="10" t="str">
        <f t="shared" si="0"/>
        <v>0,9999049406693-0,00972499909036626i</v>
      </c>
      <c r="AE3" s="10" t="str">
        <f t="shared" si="1"/>
        <v>0,999999999883785-0,0000150159764068059i</v>
      </c>
      <c r="AF3" s="10" t="str">
        <f t="shared" ref="AF3:AF66" si="9">IMPRODUCT(AB$2,AC3,AD3,AE3)</f>
        <v>72,2977003352668-0,704247635510717i</v>
      </c>
      <c r="AG3" s="10">
        <f t="shared" ref="AG3:AG56" si="10">IMABS(AF3)</f>
        <v>72.301130271249278</v>
      </c>
      <c r="AH3" s="10">
        <f t="shared" si="2"/>
        <v>-9.7406329539564008E-3</v>
      </c>
      <c r="AI3" s="10">
        <f t="shared" si="3"/>
        <v>-0.55809715804774973</v>
      </c>
      <c r="AJ3" s="10">
        <f t="shared" si="4"/>
        <v>37.182901731984593</v>
      </c>
      <c r="AL3" s="10" t="str">
        <f t="shared" si="5"/>
        <v>0,981265547547767-0,134390846366442i</v>
      </c>
      <c r="AM3" s="10" t="str">
        <f t="shared" si="6"/>
        <v>0,999999882144851-0,000341628398080775i</v>
      </c>
      <c r="AN3" s="10" t="str">
        <f t="shared" ref="AN3:AN66" si="11">IMPRODUCT($AK$2,AL3,AM3)</f>
        <v>-381,623093658206+52,3986470533895i</v>
      </c>
      <c r="AO3" s="10">
        <f t="shared" ref="AO3:AO66" si="12">IMABS(AN3)</f>
        <v>385.2035875044333</v>
      </c>
      <c r="AP3" s="10">
        <f t="shared" ref="AP3:AP66" si="13">IMARGUMENT(AN3)</f>
        <v>3.0051411654159015</v>
      </c>
      <c r="AQ3" s="10">
        <f t="shared" ref="AQ3:AQ66" si="14">AP3/(PI())*180</f>
        <v>172.18190561935674</v>
      </c>
      <c r="AR3" s="10">
        <f t="shared" ref="AR3:AR66" si="15">20*LOG(AO3,10)</f>
        <v>51.713806463448897</v>
      </c>
      <c r="AS3" s="10">
        <f t="shared" ref="AS3:AS66" si="16">AR3+AJ3</f>
        <v>88.89670819543349</v>
      </c>
      <c r="AT3" s="10">
        <f t="shared" ref="AT3:AT66" si="17">AQ3+AI3</f>
        <v>171.62380846130898</v>
      </c>
    </row>
    <row r="4" spans="1:46" x14ac:dyDescent="0.35">
      <c r="A4" t="s">
        <v>105</v>
      </c>
      <c r="B4" s="2">
        <v>50000</v>
      </c>
      <c r="C4" t="s">
        <v>94</v>
      </c>
      <c r="E4" t="str">
        <f>IF(OR(B1&lt;F2,(B1&gt;F3)),"Crossover frequency needs to be on the graph","")</f>
        <v/>
      </c>
      <c r="S4" s="10" t="s">
        <v>17</v>
      </c>
      <c r="T4" s="10">
        <f>'2. Design Parameters'!C3/'4. Boost Inductor'!B11</f>
        <v>857142.85714285716</v>
      </c>
      <c r="U4" s="10" t="s">
        <v>48</v>
      </c>
      <c r="V4" s="10" t="s">
        <v>13</v>
      </c>
      <c r="W4" s="10">
        <f>T6*T1^2/'4. Boost Inductor'!B11</f>
        <v>935064.93506493489</v>
      </c>
      <c r="Y4" s="10">
        <v>2</v>
      </c>
      <c r="Z4" s="10">
        <f t="shared" si="7"/>
        <v>1.1481536214968828</v>
      </c>
      <c r="AA4" s="10" t="str">
        <f t="shared" si="8"/>
        <v>7,21406196497425i</v>
      </c>
      <c r="AC4" s="10">
        <f>1/(2*$T$3+$T$6*$T$2/('4. Boost Inductor'!$B$11*$T$3^2)*($T$5))</f>
        <v>0.32865720058048542</v>
      </c>
      <c r="AD4" s="10" t="str">
        <f t="shared" si="0"/>
        <v>0,999890858829991-0,0104203767780693i</v>
      </c>
      <c r="AE4" s="10" t="str">
        <f t="shared" si="1"/>
        <v>0,999999999866567-0,0000160899086067435i</v>
      </c>
      <c r="AF4" s="10" t="str">
        <f t="shared" si="9"/>
        <v>72,2966805883543-0,754604256470228i</v>
      </c>
      <c r="AG4" s="10">
        <f t="shared" si="10"/>
        <v>72.30061861200366</v>
      </c>
      <c r="AH4" s="10">
        <f t="shared" si="2"/>
        <v>-1.0437226841054133E-2</v>
      </c>
      <c r="AI4" s="10">
        <f t="shared" si="3"/>
        <v>-0.5980090478130623</v>
      </c>
      <c r="AJ4" s="10">
        <f t="shared" si="4"/>
        <v>37.182840263630659</v>
      </c>
      <c r="AL4" s="10" t="str">
        <f t="shared" si="5"/>
        <v>0,978550548211445-0,143596839468739i</v>
      </c>
      <c r="AM4" s="10" t="str">
        <f t="shared" si="6"/>
        <v>0,999999864684186-0,000366061417306556i</v>
      </c>
      <c r="AN4" s="10" t="str">
        <f t="shared" si="11"/>
        <v>-380,564561938376+55,9880461292601i</v>
      </c>
      <c r="AO4" s="10">
        <f t="shared" si="12"/>
        <v>384.66095085506163</v>
      </c>
      <c r="AP4" s="10">
        <f t="shared" si="13"/>
        <v>2.9955220895912706</v>
      </c>
      <c r="AQ4" s="10">
        <f t="shared" si="14"/>
        <v>171.63077317178909</v>
      </c>
      <c r="AR4" s="10">
        <f t="shared" si="15"/>
        <v>51.701562016287866</v>
      </c>
      <c r="AS4" s="10">
        <f t="shared" si="16"/>
        <v>88.884402279918532</v>
      </c>
      <c r="AT4" s="10">
        <f t="shared" si="17"/>
        <v>171.03276412397602</v>
      </c>
    </row>
    <row r="5" spans="1:46" x14ac:dyDescent="0.35">
      <c r="A5" t="s">
        <v>111</v>
      </c>
      <c r="B5" s="3">
        <f>1/B2*B4/(B4-B3)*((Rlower+Rupper)/(1.2*10^-3*Rlower))*SQRT(1+(B1/B4)^2)/SQRT(1+(B3/B1)^2)</f>
        <v>1899.3842601243086</v>
      </c>
      <c r="C5" s="1" t="s">
        <v>43</v>
      </c>
      <c r="S5" s="10" t="s">
        <v>16</v>
      </c>
      <c r="T5" s="10">
        <f>1+(T7/T4)</f>
        <v>2.5866666666666669</v>
      </c>
      <c r="V5" s="10" t="s">
        <v>14</v>
      </c>
      <c r="W5" s="10">
        <f>(2/T6+T2/('4. Boost Inductor'!B11*T3^3*(T5)))/'6. Output Capacitors'!C14</f>
        <v>688.77073398583627</v>
      </c>
      <c r="Y5" s="10">
        <v>3</v>
      </c>
      <c r="Z5" s="10">
        <f t="shared" si="7"/>
        <v>1.2302687708123814</v>
      </c>
      <c r="AA5" s="10" t="str">
        <f t="shared" si="8"/>
        <v>7,73000666465024i</v>
      </c>
      <c r="AC5" s="10">
        <f>1/(2*$T$3+$T$6*$T$2/('4. Boost Inductor'!$B$11*$T$3^2)*($T$5))</f>
        <v>0.32865720058048542</v>
      </c>
      <c r="AD5" s="10" t="str">
        <f t="shared" si="0"/>
        <v>0,999874691206769-0,0111654534378948i</v>
      </c>
      <c r="AE5" s="10" t="str">
        <f t="shared" si="1"/>
        <v>0,999999999846799-0,0000172406476914604i</v>
      </c>
      <c r="AF5" s="10" t="str">
        <f t="shared" si="9"/>
        <v>72,2955097978419-0,808559888954832i</v>
      </c>
      <c r="AG5" s="10">
        <f t="shared" si="10"/>
        <v>72.300031161984165</v>
      </c>
      <c r="AH5" s="10">
        <f t="shared" si="2"/>
        <v>-1.1183629261518668E-2</v>
      </c>
      <c r="AI5" s="10">
        <f t="shared" si="3"/>
        <v>-0.64077475632402936</v>
      </c>
      <c r="AJ5" s="10">
        <f t="shared" si="4"/>
        <v>37.182769689590437</v>
      </c>
      <c r="AL5" s="10" t="str">
        <f t="shared" si="5"/>
        <v>0,975452109577361-0,153370862702763i</v>
      </c>
      <c r="AM5" s="10" t="str">
        <f t="shared" si="6"/>
        <v>0,999999844636661-0,000392241867605977i</v>
      </c>
      <c r="AN5" s="10" t="str">
        <f t="shared" si="11"/>
        <v>-379,356533805871+59,7989204441919i</v>
      </c>
      <c r="AO5" s="10">
        <f t="shared" si="12"/>
        <v>384.04074084333257</v>
      </c>
      <c r="AP5" s="10">
        <f t="shared" si="13"/>
        <v>2.9852466408569436</v>
      </c>
      <c r="AQ5" s="10">
        <f t="shared" si="14"/>
        <v>171.04203332670909</v>
      </c>
      <c r="AR5" s="10">
        <f t="shared" si="15"/>
        <v>51.687545976147916</v>
      </c>
      <c r="AS5" s="10">
        <f t="shared" si="16"/>
        <v>88.87031566573836</v>
      </c>
      <c r="AT5" s="10">
        <f t="shared" si="17"/>
        <v>170.40125857038507</v>
      </c>
    </row>
    <row r="6" spans="1:46" x14ac:dyDescent="0.35">
      <c r="A6" t="s">
        <v>112</v>
      </c>
      <c r="B6" s="3">
        <f>1/(B5*B3*2*PI())*10^9</f>
        <v>167.58582919022314</v>
      </c>
      <c r="C6" t="s">
        <v>102</v>
      </c>
      <c r="S6" s="10" t="s">
        <v>18</v>
      </c>
      <c r="T6" s="10">
        <f>'2. Design Parameters'!C4/'2. Design Parameters'!D5</f>
        <v>11</v>
      </c>
      <c r="U6" s="11" t="s">
        <v>43</v>
      </c>
      <c r="Y6" s="10">
        <v>4</v>
      </c>
      <c r="Z6" s="10">
        <f t="shared" si="7"/>
        <v>1.318256738556407</v>
      </c>
      <c r="AA6" s="10" t="str">
        <f t="shared" si="8"/>
        <v>8,2828513707881i</v>
      </c>
      <c r="AC6" s="10">
        <f>1/(2*$T$3+$T$6*$T$2/('4. Boost Inductor'!$B$11*$T$3^2)*($T$5))</f>
        <v>0.32865720058048542</v>
      </c>
      <c r="AD6" s="10" t="str">
        <f t="shared" si="0"/>
        <v>0,99985612893961-0,0119637756888436i</v>
      </c>
      <c r="AE6" s="10" t="str">
        <f t="shared" si="1"/>
        <v>0,999999999824102-0,0000184736868359859i</v>
      </c>
      <c r="AF6" s="10" t="str">
        <f t="shared" si="9"/>
        <v>72,2941655973999-0,866371365697614i</v>
      </c>
      <c r="AG6" s="10">
        <f t="shared" si="10"/>
        <v>72.299356696775519</v>
      </c>
      <c r="AH6" s="10">
        <f t="shared" si="2"/>
        <v>-1.1983399867632584E-2</v>
      </c>
      <c r="AI6" s="10">
        <f t="shared" si="3"/>
        <v>-0.68659823663297648</v>
      </c>
      <c r="AJ6" s="10">
        <f t="shared" si="4"/>
        <v>37.182688661164875</v>
      </c>
      <c r="AL6" s="10" t="str">
        <f t="shared" si="5"/>
        <v>0,971919165972922-0,163733930386067i</v>
      </c>
      <c r="AM6" s="10" t="str">
        <f t="shared" si="6"/>
        <v>0,999999821619024-0,00042029472369314i</v>
      </c>
      <c r="AN6" s="10" t="str">
        <f t="shared" si="11"/>
        <v>-377,97909962964+63,8394638381427i</v>
      </c>
      <c r="AO6" s="10">
        <f t="shared" si="12"/>
        <v>383.33233218706567</v>
      </c>
      <c r="AP6" s="10">
        <f t="shared" si="13"/>
        <v>2.9742748956903462</v>
      </c>
      <c r="AQ6" s="10">
        <f t="shared" si="14"/>
        <v>170.41339863477</v>
      </c>
      <c r="AR6" s="10">
        <f t="shared" si="15"/>
        <v>51.671509027833729</v>
      </c>
      <c r="AS6" s="10">
        <f t="shared" si="16"/>
        <v>88.854197688998596</v>
      </c>
      <c r="AT6" s="10">
        <f t="shared" si="17"/>
        <v>169.72680039813702</v>
      </c>
    </row>
    <row r="7" spans="1:46" x14ac:dyDescent="0.35">
      <c r="A7" t="s">
        <v>113</v>
      </c>
      <c r="B7" s="15">
        <f>1/B2*Rlower*0.0012/(2*PI()*B4*(Rlower+Rupper))*SQRT(1+(B3/B1)^2)/SQRT(1+(B1/B4)^2)*10^9</f>
        <v>0.10671542714034053</v>
      </c>
      <c r="C7" t="s">
        <v>102</v>
      </c>
      <c r="S7" s="10" t="s">
        <v>30</v>
      </c>
      <c r="T7" s="10">
        <f>'2. Design Parameters'!C7*1000/'5. Current Sense Resistor'!B11</f>
        <v>1360000</v>
      </c>
      <c r="U7" s="10" t="s">
        <v>48</v>
      </c>
      <c r="Y7" s="10">
        <v>5</v>
      </c>
      <c r="Z7" s="10">
        <f t="shared" si="7"/>
        <v>1.4125375446227544</v>
      </c>
      <c r="AA7" s="10" t="str">
        <f t="shared" si="8"/>
        <v>8,87523514621322i</v>
      </c>
      <c r="AC7" s="10">
        <f>1/(2*$T$3+$T$6*$T$2/('4. Boost Inductor'!$B$11*$T$3^2)*($T$5))</f>
        <v>0.32865720058048542</v>
      </c>
      <c r="AD7" s="10" t="str">
        <f t="shared" si="0"/>
        <v>0,999834817459524-0,0128191420025808i</v>
      </c>
      <c r="AE7" s="10" t="str">
        <f t="shared" si="1"/>
        <v>0,999999999798041-0,0000197949120834093i</v>
      </c>
      <c r="AF7" s="10" t="str">
        <f t="shared" si="9"/>
        <v>72,2926223106502-0,928313757649827i</v>
      </c>
      <c r="AG7" s="10">
        <f t="shared" si="10"/>
        <v>72.298582330381564</v>
      </c>
      <c r="AH7" s="10">
        <f t="shared" si="2"/>
        <v>-1.2840352292554627E-2</v>
      </c>
      <c r="AI7" s="10">
        <f t="shared" si="3"/>
        <v>-0.73569799382451118</v>
      </c>
      <c r="AJ7" s="10">
        <f t="shared" si="4"/>
        <v>37.182595629949049</v>
      </c>
      <c r="AL7" s="10" t="str">
        <f t="shared" si="5"/>
        <v>0,967894795334388-0,17470451435804i</v>
      </c>
      <c r="AM7" s="10" t="str">
        <f t="shared" si="6"/>
        <v>0,999999795191242-0,000450353898308066i</v>
      </c>
      <c r="AN7" s="10" t="str">
        <f t="shared" si="11"/>
        <v>-376,410066471961+68,1168789338727i</v>
      </c>
      <c r="AO7" s="10">
        <f t="shared" si="12"/>
        <v>382.52378662916891</v>
      </c>
      <c r="AP7" s="10">
        <f t="shared" si="13"/>
        <v>2.9625655917282421</v>
      </c>
      <c r="AQ7" s="10">
        <f t="shared" si="14"/>
        <v>169.74250493670564</v>
      </c>
      <c r="AR7" s="10">
        <f t="shared" si="15"/>
        <v>51.653168924725783</v>
      </c>
      <c r="AS7" s="10">
        <f t="shared" si="16"/>
        <v>88.835764554674824</v>
      </c>
      <c r="AT7" s="10">
        <f t="shared" si="17"/>
        <v>169.00680694288113</v>
      </c>
    </row>
    <row r="8" spans="1:46" x14ac:dyDescent="0.35">
      <c r="A8" t="s">
        <v>107</v>
      </c>
      <c r="B8" s="2">
        <v>52000</v>
      </c>
      <c r="C8" s="1" t="s">
        <v>43</v>
      </c>
      <c r="Y8" s="10">
        <v>6</v>
      </c>
      <c r="Z8" s="10">
        <f t="shared" si="7"/>
        <v>1.513561248436208</v>
      </c>
      <c r="AA8" s="10" t="str">
        <f t="shared" si="8"/>
        <v>9,50998579769077i</v>
      </c>
      <c r="AC8" s="10">
        <f>1/(2*$T$3+$T$6*$T$2/('4. Boost Inductor'!$B$11*$T$3^2)*($T$5))</f>
        <v>0.32865720058048542</v>
      </c>
      <c r="AD8" s="10" t="str">
        <f t="shared" si="0"/>
        <v>0,999810349732432-0,0137356203018829i</v>
      </c>
      <c r="AE8" s="10" t="str">
        <f t="shared" si="1"/>
        <v>0,999999999768121-0,0000212106304425302i</v>
      </c>
      <c r="AF8" s="10" t="str">
        <f t="shared" si="9"/>
        <v>72,290850461916-0,994681648394127i</v>
      </c>
      <c r="AG8" s="10">
        <f t="shared" si="10"/>
        <v>72.297693269486487</v>
      </c>
      <c r="AH8" s="10">
        <f t="shared" si="2"/>
        <v>-1.3758572176086111E-2</v>
      </c>
      <c r="AI8" s="10">
        <f t="shared" si="3"/>
        <v>-0.78830811781585908</v>
      </c>
      <c r="AJ8" s="10">
        <f t="shared" si="4"/>
        <v>37.182488818279325</v>
      </c>
      <c r="AL8" s="10" t="str">
        <f t="shared" si="5"/>
        <v>0,963315838302137-0,186297610061152i</v>
      </c>
      <c r="AM8" s="10" t="str">
        <f t="shared" si="6"/>
        <v>0,99999976484809-0,00048256288143995i</v>
      </c>
      <c r="AN8" s="10" t="str">
        <f t="shared" si="11"/>
        <v>-374,624809580183+72,6370130217332i</v>
      </c>
      <c r="AO8" s="10">
        <f t="shared" si="12"/>
        <v>381.60173429074956</v>
      </c>
      <c r="AP8" s="10">
        <f t="shared" si="13"/>
        <v>2.9500763421707155</v>
      </c>
      <c r="AQ8" s="10">
        <f t="shared" si="14"/>
        <v>169.02692364777371</v>
      </c>
      <c r="AR8" s="10">
        <f t="shared" si="15"/>
        <v>51.632206796070442</v>
      </c>
      <c r="AS8" s="10">
        <f t="shared" si="16"/>
        <v>88.814695614349773</v>
      </c>
      <c r="AT8" s="10">
        <f t="shared" si="17"/>
        <v>168.23861552995785</v>
      </c>
    </row>
    <row r="9" spans="1:46" x14ac:dyDescent="0.35">
      <c r="A9" t="s">
        <v>108</v>
      </c>
      <c r="B9" s="2">
        <v>6.8</v>
      </c>
      <c r="C9" t="s">
        <v>102</v>
      </c>
      <c r="Y9" s="10">
        <v>7</v>
      </c>
      <c r="Z9" s="10">
        <f t="shared" si="7"/>
        <v>1.6218100973589298</v>
      </c>
      <c r="AA9" s="10" t="str">
        <f t="shared" si="8"/>
        <v>10,1901333747611i</v>
      </c>
      <c r="AC9" s="10">
        <f>1/(2*$T$3+$T$6*$T$2/('4. Boost Inductor'!$B$11*$T$3^2)*($T$5))</f>
        <v>0.32865720058048542</v>
      </c>
      <c r="AD9" s="10" t="str">
        <f t="shared" si="0"/>
        <v>0,999782258507142-0,0147175667225686i</v>
      </c>
      <c r="AE9" s="10" t="str">
        <f t="shared" si="1"/>
        <v>0,999999999733767-0,0000227275999950328i</v>
      </c>
      <c r="AF9" s="10" t="str">
        <f t="shared" si="9"/>
        <v>72,288816214853-1,06579049281295i</v>
      </c>
      <c r="AG9" s="10">
        <f t="shared" si="10"/>
        <v>72.29667253144757</v>
      </c>
      <c r="AH9" s="10">
        <f t="shared" si="2"/>
        <v>-1.4742436447704229E-2</v>
      </c>
      <c r="AI9" s="10">
        <f t="shared" si="3"/>
        <v>-0.84467938819329014</v>
      </c>
      <c r="AJ9" s="10">
        <f t="shared" si="4"/>
        <v>37.182366185313555</v>
      </c>
      <c r="AL9" s="10" t="str">
        <f t="shared" si="5"/>
        <v>0,958112588878941-0,198523628232528i</v>
      </c>
      <c r="AM9" s="10" t="str">
        <f t="shared" si="6"/>
        <v>0,999999730009492-0,000517075425263046i</v>
      </c>
      <c r="AN9" s="10" t="str">
        <f t="shared" si="11"/>
        <v>-372,596151779638+77,4039259531806i</v>
      </c>
      <c r="AO9" s="10">
        <f t="shared" si="12"/>
        <v>380.5512581426587</v>
      </c>
      <c r="AP9" s="10">
        <f t="shared" si="13"/>
        <v>2.9367639221344599</v>
      </c>
      <c r="AQ9" s="10">
        <f t="shared" si="14"/>
        <v>168.26417816459087</v>
      </c>
      <c r="AR9" s="10">
        <f t="shared" si="15"/>
        <v>51.608263242064382</v>
      </c>
      <c r="AS9" s="10">
        <f t="shared" si="16"/>
        <v>88.790629427377937</v>
      </c>
      <c r="AT9" s="10">
        <f t="shared" si="17"/>
        <v>167.41949877639757</v>
      </c>
    </row>
    <row r="10" spans="1:46" x14ac:dyDescent="0.35">
      <c r="A10" t="s">
        <v>109</v>
      </c>
      <c r="B10" s="2">
        <v>1</v>
      </c>
      <c r="C10" t="s">
        <v>102</v>
      </c>
      <c r="Y10" s="10">
        <v>8</v>
      </c>
      <c r="Z10" s="10">
        <f t="shared" si="7"/>
        <v>1.7378008287493754</v>
      </c>
      <c r="AA10" s="10" t="str">
        <f t="shared" si="8"/>
        <v>10,9189246340026i</v>
      </c>
      <c r="AC10" s="10">
        <f>1/(2*$T$3+$T$6*$T$2/('4. Boost Inductor'!$B$11*$T$3^2)*($T$5))</f>
        <v>0.32865720058048542</v>
      </c>
      <c r="AD10" s="10" t="str">
        <f t="shared" si="0"/>
        <v>0,999750007421456-0,0157696456002828i</v>
      </c>
      <c r="AE10" s="10" t="str">
        <f t="shared" si="1"/>
        <v>0,999999999694324-0,0000243530621559053i</v>
      </c>
      <c r="AF10" s="10" t="str">
        <f t="shared" si="9"/>
        <v>72,2864807283922-1,14197806445621i</v>
      </c>
      <c r="AG10" s="10">
        <f t="shared" si="10"/>
        <v>72.295500620688117</v>
      </c>
      <c r="AH10" s="10">
        <f t="shared" si="2"/>
        <v>-1.579663394944501E-2</v>
      </c>
      <c r="AI10" s="10">
        <f t="shared" si="3"/>
        <v>-0.90508045581627206</v>
      </c>
      <c r="AJ10" s="10">
        <f t="shared" si="4"/>
        <v>37.182225388100257</v>
      </c>
      <c r="AL10" s="10" t="str">
        <f t="shared" si="5"/>
        <v>0,95220859584567-0,211387097265153i</v>
      </c>
      <c r="AM10" s="10" t="str">
        <f t="shared" si="6"/>
        <v>0,999999690009433-0,000554056278053551i</v>
      </c>
      <c r="AN10" s="10" t="str">
        <f t="shared" si="11"/>
        <v>-370,294286048973+82,4193842179119i</v>
      </c>
      <c r="AO10" s="10">
        <f t="shared" si="12"/>
        <v>379.35578705929663</v>
      </c>
      <c r="AP10" s="10">
        <f t="shared" si="13"/>
        <v>2.9225846397789135</v>
      </c>
      <c r="AQ10" s="10">
        <f t="shared" si="14"/>
        <v>167.45176512909376</v>
      </c>
      <c r="AR10" s="10">
        <f t="shared" si="15"/>
        <v>51.580934271955783</v>
      </c>
      <c r="AS10" s="10">
        <f t="shared" si="16"/>
        <v>88.763159660056033</v>
      </c>
      <c r="AT10" s="10">
        <f t="shared" si="17"/>
        <v>166.5466846732775</v>
      </c>
    </row>
    <row r="11" spans="1:46" x14ac:dyDescent="0.35">
      <c r="Y11" s="10">
        <v>9</v>
      </c>
      <c r="Z11" s="10">
        <f t="shared" si="7"/>
        <v>1.8620871366628673</v>
      </c>
      <c r="AA11" s="10" t="str">
        <f t="shared" si="8"/>
        <v>11,6998385377682i</v>
      </c>
      <c r="AC11" s="10">
        <f>1/(2*$T$3+$T$6*$T$2/('4. Boost Inductor'!$B$11*$T$3^2)*($T$5))</f>
        <v>0.32865720058048542</v>
      </c>
      <c r="AD11" s="10" t="str">
        <f t="shared" si="0"/>
        <v>0,999712980799366-0,0168968507428894i</v>
      </c>
      <c r="AE11" s="10" t="str">
        <f t="shared" si="1"/>
        <v>0,999999999649036-0,0000260947762411003i</v>
      </c>
      <c r="AF11" s="10" t="str">
        <f t="shared" si="9"/>
        <v>72,2837994178953-1,22360599600802i</v>
      </c>
      <c r="AG11" s="10">
        <f t="shared" si="10"/>
        <v>72.294155157384523</v>
      </c>
      <c r="AH11" s="10">
        <f t="shared" si="2"/>
        <v>-1.6926187485440062E-2</v>
      </c>
      <c r="AI11" s="10">
        <f t="shared" si="3"/>
        <v>-0.96979910616286713</v>
      </c>
      <c r="AJ11" s="10">
        <f t="shared" si="4"/>
        <v>37.182063736899082</v>
      </c>
      <c r="AL11" s="10" t="str">
        <f t="shared" si="5"/>
        <v>0,945520623905159-0,224885166304492i</v>
      </c>
      <c r="AM11" s="10" t="str">
        <f t="shared" si="6"/>
        <v>0,999999644083224-0,000593681970589367i</v>
      </c>
      <c r="AN11" s="10" t="str">
        <f t="shared" si="11"/>
        <v>-367,686760370739+87,6822773314621i</v>
      </c>
      <c r="AO11" s="10">
        <f t="shared" si="12"/>
        <v>377.99700463093711</v>
      </c>
      <c r="AP11" s="10">
        <f t="shared" si="13"/>
        <v>2.9074948059207308</v>
      </c>
      <c r="AQ11" s="10">
        <f t="shared" si="14"/>
        <v>166.58718133546628</v>
      </c>
      <c r="AR11" s="10">
        <f t="shared" si="15"/>
        <v>51.549767167251936</v>
      </c>
      <c r="AS11" s="10">
        <f t="shared" si="16"/>
        <v>88.731830904151025</v>
      </c>
      <c r="AT11" s="10">
        <f t="shared" si="17"/>
        <v>165.61738222930342</v>
      </c>
    </row>
    <row r="12" spans="1:46" x14ac:dyDescent="0.35">
      <c r="A12" t="s">
        <v>95</v>
      </c>
      <c r="B12">
        <f>B8</f>
        <v>52000</v>
      </c>
      <c r="C12" s="1" t="s">
        <v>43</v>
      </c>
      <c r="D12" s="1"/>
      <c r="Y12" s="10">
        <v>10</v>
      </c>
      <c r="Z12" s="10">
        <f t="shared" si="7"/>
        <v>1.9952623149688797</v>
      </c>
      <c r="AA12" s="10" t="str">
        <f t="shared" si="8"/>
        <v>12,5366028613816i</v>
      </c>
      <c r="AC12" s="10">
        <f>1/(2*$T$3+$T$6*$T$2/('4. Boost Inductor'!$B$11*$T$3^2)*($T$5))</f>
        <v>0.32865720058048542</v>
      </c>
      <c r="AD12" s="10" t="str">
        <f t="shared" si="0"/>
        <v>0,999670471948176-0,0181045280474276i</v>
      </c>
      <c r="AE12" s="10" t="str">
        <f t="shared" si="1"/>
        <v>0,99999999959704-0,0000279610565074524i</v>
      </c>
      <c r="AF12" s="10" t="str">
        <f t="shared" si="9"/>
        <v>72,2807211076832-1,31106141712171i</v>
      </c>
      <c r="AG12" s="10">
        <f t="shared" si="10"/>
        <v>72.29261045145725</v>
      </c>
      <c r="AH12" s="10">
        <f t="shared" si="2"/>
        <v>-1.8136477389046245E-2</v>
      </c>
      <c r="AI12" s="10">
        <f t="shared" si="3"/>
        <v>-1.0391436096267965</v>
      </c>
      <c r="AJ12" s="10">
        <f t="shared" si="4"/>
        <v>37.181878143907191</v>
      </c>
      <c r="AL12" s="10" t="str">
        <f t="shared" si="5"/>
        <v>0,937958834076422-0,239005907357875i</v>
      </c>
      <c r="AM12" s="10" t="str">
        <f t="shared" si="6"/>
        <v>0,999999591352887-0,000636141658784898i</v>
      </c>
      <c r="AN12" s="10" t="str">
        <f t="shared" si="11"/>
        <v>-364,738548063912+93,1879558616532i</v>
      </c>
      <c r="AO12" s="10">
        <f t="shared" si="12"/>
        <v>376.4547828909125</v>
      </c>
      <c r="AP12" s="10">
        <f t="shared" si="13"/>
        <v>2.8914513162844475</v>
      </c>
      <c r="AQ12" s="10">
        <f t="shared" si="14"/>
        <v>165.66795709064536</v>
      </c>
      <c r="AR12" s="10">
        <f t="shared" si="15"/>
        <v>51.514256385221557</v>
      </c>
      <c r="AS12" s="10">
        <f t="shared" si="16"/>
        <v>88.696134529128756</v>
      </c>
      <c r="AT12" s="10">
        <f t="shared" si="17"/>
        <v>164.62881348101857</v>
      </c>
    </row>
    <row r="13" spans="1:46" x14ac:dyDescent="0.35">
      <c r="A13" t="s">
        <v>96</v>
      </c>
      <c r="B13">
        <f>B9</f>
        <v>6.8</v>
      </c>
      <c r="C13" t="s">
        <v>102</v>
      </c>
      <c r="Y13" s="10">
        <v>11</v>
      </c>
      <c r="Z13" s="10">
        <f t="shared" si="7"/>
        <v>2.1379620895022318</v>
      </c>
      <c r="AA13" s="10" t="str">
        <f t="shared" si="8"/>
        <v>13,4332119880674i</v>
      </c>
      <c r="AC13" s="10">
        <f>1/(2*$T$3+$T$6*$T$2/('4. Boost Inductor'!$B$11*$T$3^2)*($T$5))</f>
        <v>0.32865720058048542</v>
      </c>
      <c r="AD13" s="10" t="str">
        <f t="shared" si="0"/>
        <v>0,999621669736987-0,0193983995172648i</v>
      </c>
      <c r="AE13" s="10" t="str">
        <f t="shared" si="1"/>
        <v>0,99999999953734-0,0000299608118416615i</v>
      </c>
      <c r="AF13" s="10" t="str">
        <f t="shared" si="9"/>
        <v>72,2771870591057-1,40475869365198i</v>
      </c>
      <c r="AG13" s="10">
        <f t="shared" si="10"/>
        <v>72.290837013859147</v>
      </c>
      <c r="AH13" s="10">
        <f t="shared" si="2"/>
        <v>-1.9433266702474979E-2</v>
      </c>
      <c r="AI13" s="10">
        <f t="shared" si="3"/>
        <v>-1.1134441642039308</v>
      </c>
      <c r="AJ13" s="10">
        <f t="shared" si="4"/>
        <v>37.181665064422262</v>
      </c>
      <c r="AL13" s="10" t="str">
        <f t="shared" si="5"/>
        <v>0,929427253507839-0,253726427004689i</v>
      </c>
      <c r="AM13" s="10" t="str">
        <f t="shared" si="6"/>
        <v>0,999999530810366-0,00068163802658086i</v>
      </c>
      <c r="AN13" s="10" t="str">
        <f t="shared" si="11"/>
        <v>-361,412230955887+98,9274952220137i</v>
      </c>
      <c r="AO13" s="10">
        <f t="shared" si="12"/>
        <v>374.7071523141945</v>
      </c>
      <c r="AP13" s="10">
        <f t="shared" si="13"/>
        <v>2.8744123602539973</v>
      </c>
      <c r="AQ13" s="10">
        <f t="shared" si="14"/>
        <v>164.69169682279158</v>
      </c>
      <c r="AR13" s="10">
        <f t="shared" si="15"/>
        <v>51.473839657496029</v>
      </c>
      <c r="AS13" s="10">
        <f t="shared" si="16"/>
        <v>88.655504721918291</v>
      </c>
      <c r="AT13" s="10">
        <f t="shared" si="17"/>
        <v>163.57825265858764</v>
      </c>
    </row>
    <row r="14" spans="1:46" x14ac:dyDescent="0.35">
      <c r="A14" t="s">
        <v>97</v>
      </c>
      <c r="B14">
        <f>B10</f>
        <v>1</v>
      </c>
      <c r="C14" t="s">
        <v>102</v>
      </c>
      <c r="S14" s="12" t="s">
        <v>119</v>
      </c>
      <c r="Y14" s="10">
        <v>12</v>
      </c>
      <c r="Z14" s="10">
        <f t="shared" si="7"/>
        <v>2.2908676527677727</v>
      </c>
      <c r="AA14" s="10" t="str">
        <f t="shared" si="8"/>
        <v>14,3939459765635i</v>
      </c>
      <c r="AC14" s="10">
        <f>1/(2*$T$3+$T$6*$T$2/('4. Boost Inductor'!$B$11*$T$3^2)*($T$5))</f>
        <v>0.32865720058048542</v>
      </c>
      <c r="AD14" s="10" t="str">
        <f t="shared" si="0"/>
        <v>0,999565643206716-0,020784588729797i</v>
      </c>
      <c r="AE14" s="10" t="str">
        <f t="shared" si="1"/>
        <v>0,999999999468795-0,0000321035882878082i</v>
      </c>
      <c r="AF14" s="10" t="str">
        <f t="shared" si="9"/>
        <v>72,2731298560654-1,50514127193036i</v>
      </c>
      <c r="AG14" s="10">
        <f t="shared" si="10"/>
        <v>72.288800996006003</v>
      </c>
      <c r="AH14" s="10">
        <f t="shared" si="2"/>
        <v>-2.0822728067483746E-2</v>
      </c>
      <c r="AI14" s="10">
        <f t="shared" si="3"/>
        <v>-1.1930544362154196</v>
      </c>
      <c r="AJ14" s="10">
        <f t="shared" si="4"/>
        <v>37.181420429332313</v>
      </c>
      <c r="AL14" s="10" t="str">
        <f t="shared" si="5"/>
        <v>0,919824614508208-0,269010815602969i</v>
      </c>
      <c r="AM14" s="10" t="str">
        <f t="shared" si="6"/>
        <v>0,99999946129826-0,000730388253396436i</v>
      </c>
      <c r="AN14" s="10" t="str">
        <f t="shared" si="11"/>
        <v>-357,668326506174+104,886896108206i</v>
      </c>
      <c r="AO14" s="10">
        <f t="shared" si="12"/>
        <v>372.73032176218334</v>
      </c>
      <c r="AP14" s="10">
        <f t="shared" si="13"/>
        <v>2.856338268670553</v>
      </c>
      <c r="AQ14" s="10">
        <f t="shared" si="14"/>
        <v>163.6561276565273</v>
      </c>
      <c r="AR14" s="10">
        <f t="shared" si="15"/>
        <v>51.427894484448878</v>
      </c>
      <c r="AS14" s="10">
        <f t="shared" si="16"/>
        <v>88.609314913781191</v>
      </c>
      <c r="AT14" s="10">
        <f t="shared" si="17"/>
        <v>162.46307322031188</v>
      </c>
    </row>
    <row r="15" spans="1:46" x14ac:dyDescent="0.35">
      <c r="S15" s="10" t="s">
        <v>120</v>
      </c>
      <c r="T15" s="10">
        <f>1*10^-12</f>
        <v>9.9999999999999998E-13</v>
      </c>
      <c r="U15" s="10" t="s">
        <v>121</v>
      </c>
      <c r="Y15" s="10">
        <v>13</v>
      </c>
      <c r="Z15" s="10">
        <f t="shared" si="7"/>
        <v>2.4547089156850301</v>
      </c>
      <c r="AA15" s="10" t="str">
        <f t="shared" si="8"/>
        <v>15,4233909924349i</v>
      </c>
      <c r="AC15" s="10">
        <f>1/(2*$T$3+$T$6*$T$2/('4. Boost Inductor'!$B$11*$T$3^2)*($T$5))</f>
        <v>0.32865720058048542</v>
      </c>
      <c r="AD15" s="10" t="str">
        <f t="shared" si="0"/>
        <v>0,99950132392639-0,0222696477972945i</v>
      </c>
      <c r="AE15" s="10" t="str">
        <f t="shared" si="1"/>
        <v>0,999999999390096-0,000034399614616404i</v>
      </c>
      <c r="AF15" s="10" t="str">
        <f t="shared" si="9"/>
        <v>72,2684721273354-1,61268363116883i</v>
      </c>
      <c r="AG15" s="10">
        <f t="shared" si="10"/>
        <v>72.286463546875041</v>
      </c>
      <c r="AH15" s="10">
        <f t="shared" si="2"/>
        <v>-2.2311472428909681E-2</v>
      </c>
      <c r="AI15" s="10">
        <f t="shared" si="3"/>
        <v>-1.2783532048990245</v>
      </c>
      <c r="AJ15" s="10">
        <f t="shared" si="4"/>
        <v>37.181139567661369</v>
      </c>
      <c r="AL15" s="10" t="str">
        <f t="shared" si="5"/>
        <v>0,909045649557995-0,284807984943689i</v>
      </c>
      <c r="AM15" s="10" t="str">
        <f t="shared" si="6"/>
        <v>0,999999381487697-0,000782625050758386i</v>
      </c>
      <c r="AN15" s="10" t="str">
        <f t="shared" si="11"/>
        <v>-353,465792708916+111,046241442525i</v>
      </c>
      <c r="AO15" s="10">
        <f t="shared" si="12"/>
        <v>370.49876430813356</v>
      </c>
      <c r="AP15" s="10">
        <f t="shared" si="13"/>
        <v>2.8371925104883982</v>
      </c>
      <c r="AQ15" s="10">
        <f t="shared" si="14"/>
        <v>162.55915651711177</v>
      </c>
      <c r="AR15" s="10">
        <f t="shared" si="15"/>
        <v>51.375735277073254</v>
      </c>
      <c r="AS15" s="10">
        <f t="shared" si="16"/>
        <v>88.556874844734622</v>
      </c>
      <c r="AT15" s="10">
        <f t="shared" si="17"/>
        <v>161.28080331221275</v>
      </c>
    </row>
    <row r="16" spans="1:46" x14ac:dyDescent="0.35">
      <c r="S16" s="10" t="s">
        <v>122</v>
      </c>
      <c r="T16" s="10">
        <f>3*10^6</f>
        <v>3000000</v>
      </c>
      <c r="U16" s="11" t="s">
        <v>43</v>
      </c>
      <c r="Y16" s="10">
        <v>14</v>
      </c>
      <c r="Z16" s="10">
        <f t="shared" si="7"/>
        <v>2.6302679918953817</v>
      </c>
      <c r="AA16" s="10" t="str">
        <f t="shared" si="8"/>
        <v>16,5264612006218i</v>
      </c>
      <c r="AC16" s="10">
        <f>1/(2*$T$3+$T$6*$T$2/('4. Boost Inductor'!$B$11*$T$3^2)*($T$5))</f>
        <v>0.32865720058048542</v>
      </c>
      <c r="AD16" s="10" t="str">
        <f t="shared" si="0"/>
        <v>0,999427485770141-0,0238605858526082i</v>
      </c>
      <c r="AE16" s="10" t="str">
        <f t="shared" si="1"/>
        <v>0,999999999299735-0,0000368598511525097i</v>
      </c>
      <c r="AF16" s="10" t="str">
        <f t="shared" si="9"/>
        <v>72,2631250820949-1,72789334628835i</v>
      </c>
      <c r="AG16" s="10">
        <f t="shared" si="10"/>
        <v>72.283780075800138</v>
      </c>
      <c r="AH16" s="10">
        <f t="shared" si="2"/>
        <v>-2.3906579655391013E-2</v>
      </c>
      <c r="AI16" s="10">
        <f t="shared" si="3"/>
        <v>-1.3697461168472231</v>
      </c>
      <c r="AJ16" s="10">
        <f t="shared" si="4"/>
        <v>37.180817117715627</v>
      </c>
      <c r="AL16" s="10" t="str">
        <f t="shared" si="5"/>
        <v>0,896982931088916-0,301049474485177i</v>
      </c>
      <c r="AM16" s="10" t="str">
        <f t="shared" si="6"/>
        <v>0,999999289852925-0,00083859777305139i</v>
      </c>
      <c r="AN16" s="10" t="str">
        <f t="shared" si="11"/>
        <v>-348,762745391204+117,378841068753i</v>
      </c>
      <c r="AO16" s="10">
        <f t="shared" si="12"/>
        <v>367.9853868069402</v>
      </c>
      <c r="AP16" s="10">
        <f t="shared" si="13"/>
        <v>2.8169428435314066</v>
      </c>
      <c r="AQ16" s="10">
        <f t="shared" si="14"/>
        <v>161.39893606393062</v>
      </c>
      <c r="AR16" s="10">
        <f t="shared" si="15"/>
        <v>51.316611451996444</v>
      </c>
      <c r="AS16" s="10">
        <f t="shared" si="16"/>
        <v>88.497428569712071</v>
      </c>
      <c r="AT16" s="10">
        <f t="shared" si="17"/>
        <v>160.02918994708341</v>
      </c>
    </row>
    <row r="17" spans="19:46" x14ac:dyDescent="0.35">
      <c r="S17" s="10" t="s">
        <v>123</v>
      </c>
      <c r="T17" s="10">
        <v>502</v>
      </c>
      <c r="U17" s="11" t="s">
        <v>43</v>
      </c>
      <c r="Y17" s="10">
        <v>15</v>
      </c>
      <c r="Z17" s="10">
        <f t="shared" si="7"/>
        <v>2.8183829312644537</v>
      </c>
      <c r="AA17" s="10" t="str">
        <f t="shared" si="8"/>
        <v>17,7084222237266i</v>
      </c>
      <c r="AC17" s="10">
        <f>1/(2*$T$3+$T$6*$T$2/('4. Boost Inductor'!$B$11*$T$3^2)*($T$5))</f>
        <v>0.32865720058048542</v>
      </c>
      <c r="AD17" s="10" t="str">
        <f t="shared" si="0"/>
        <v>0,999342721743799-0,0255648990766452i</v>
      </c>
      <c r="AE17" s="10" t="str">
        <f t="shared" si="1"/>
        <v>0,999999999195989-0,0000394960420960068i</v>
      </c>
      <c r="AF17" s="10" t="str">
        <f t="shared" si="9"/>
        <v>72,2569868318104-1,85131326239686i</v>
      </c>
      <c r="AG17" s="10">
        <f t="shared" si="10"/>
        <v>72.280699407296467</v>
      </c>
      <c r="AH17" s="10">
        <f t="shared" si="2"/>
        <v>-2.5615631183297495E-2</v>
      </c>
      <c r="AI17" s="10">
        <f t="shared" si="3"/>
        <v>-1.4676675563666493</v>
      </c>
      <c r="AJ17" s="10">
        <f t="shared" si="4"/>
        <v>37.180446925165782</v>
      </c>
      <c r="AL17" s="10" t="str">
        <f t="shared" si="5"/>
        <v>0,883529339009563-0,317647341285172i</v>
      </c>
      <c r="AM17" s="10" t="str">
        <f t="shared" si="6"/>
        <v>0,99999918464215-0,000898573607686495i</v>
      </c>
      <c r="AN17" s="10" t="str">
        <f t="shared" si="11"/>
        <v>-343,517420258787+123,850409079743i</v>
      </c>
      <c r="AO17" s="10">
        <f t="shared" si="12"/>
        <v>365.16180228834423</v>
      </c>
      <c r="AP17" s="10">
        <f t="shared" si="13"/>
        <v>2.7955626177642507</v>
      </c>
      <c r="AQ17" s="10">
        <f t="shared" si="14"/>
        <v>160.17393936243573</v>
      </c>
      <c r="AR17" s="10">
        <f t="shared" si="15"/>
        <v>51.249706838197497</v>
      </c>
      <c r="AS17" s="10">
        <f t="shared" si="16"/>
        <v>88.430153763363279</v>
      </c>
      <c r="AT17" s="10">
        <f t="shared" si="17"/>
        <v>158.70627180606908</v>
      </c>
    </row>
    <row r="18" spans="19:46" x14ac:dyDescent="0.35">
      <c r="S18" s="10" t="s">
        <v>124</v>
      </c>
      <c r="T18" s="10">
        <v>1.1999999999999999E-3</v>
      </c>
      <c r="Y18" s="10">
        <v>16</v>
      </c>
      <c r="Z18" s="10">
        <f t="shared" si="7"/>
        <v>3.0199517204020156</v>
      </c>
      <c r="AA18" s="10" t="str">
        <f t="shared" si="8"/>
        <v>18,9749162780217i</v>
      </c>
      <c r="AC18" s="10">
        <f>1/(2*$T$3+$T$6*$T$2/('4. Boost Inductor'!$B$11*$T$3^2)*($T$5))</f>
        <v>0.32865720058048542</v>
      </c>
      <c r="AD18" s="10" t="str">
        <f t="shared" si="0"/>
        <v>0,999245417438439-0,0273906022648187i</v>
      </c>
      <c r="AE18" s="10" t="str">
        <f t="shared" si="1"/>
        <v>0,999999999076872-0,0000423207715837743i</v>
      </c>
      <c r="AF18" s="10" t="str">
        <f t="shared" si="9"/>
        <v>72,2499404678534-1,98352378071433i</v>
      </c>
      <c r="AG18" s="10">
        <f t="shared" si="10"/>
        <v>72.277162812308987</v>
      </c>
      <c r="AH18" s="10">
        <f t="shared" si="2"/>
        <v>-2.7446744790378601E-2</v>
      </c>
      <c r="AI18" s="10">
        <f t="shared" si="3"/>
        <v>-1.5725826378613732</v>
      </c>
      <c r="AJ18" s="10">
        <f t="shared" si="4"/>
        <v>37.180021926161366</v>
      </c>
      <c r="AL18" s="10" t="str">
        <f t="shared" si="5"/>
        <v>0,868581221908033-0,334492288112791i</v>
      </c>
      <c r="AM18" s="10" t="str">
        <f t="shared" si="6"/>
        <v>0,999999063844046-0,000962838850362623i</v>
      </c>
      <c r="AN18" s="10" t="str">
        <f t="shared" si="11"/>
        <v>-337,689405394498+130,418334007749i</v>
      </c>
      <c r="AO18" s="10">
        <f t="shared" si="12"/>
        <v>361.99872425334098</v>
      </c>
      <c r="AP18" s="10">
        <f t="shared" si="13"/>
        <v>2.7730322200384943</v>
      </c>
      <c r="AQ18" s="10">
        <f t="shared" si="14"/>
        <v>158.88304266199876</v>
      </c>
      <c r="AR18" s="10">
        <f t="shared" si="15"/>
        <v>51.174140800126807</v>
      </c>
      <c r="AS18" s="10">
        <f t="shared" si="16"/>
        <v>88.354162726288166</v>
      </c>
      <c r="AT18" s="10">
        <f t="shared" si="17"/>
        <v>157.3104600241374</v>
      </c>
    </row>
    <row r="19" spans="19:46" x14ac:dyDescent="0.35">
      <c r="S19" s="10" t="s">
        <v>125</v>
      </c>
      <c r="T19" s="10">
        <f>0.5*(comp_R2+Rotaesd)/(comp_R2*Rotaesd*comp_C2)*(1-(1-4*comp_R2*Rotaesd*comp_C2/((comp_R2+Rotaesd)^2*comp_C1))^0.5)</f>
        <v>2804.9255180138084</v>
      </c>
      <c r="Y19" s="10">
        <v>17</v>
      </c>
      <c r="Z19" s="10">
        <f t="shared" si="7"/>
        <v>3.2359365692962818</v>
      </c>
      <c r="AA19" s="10" t="str">
        <f t="shared" si="8"/>
        <v>20,3319891071675i</v>
      </c>
      <c r="AC19" s="10">
        <f>1/(2*$T$3+$T$6*$T$2/('4. Boost Inductor'!$B$11*$T$3^2)*($T$5))</f>
        <v>0.32865720058048542</v>
      </c>
      <c r="AD19" s="10" t="str">
        <f t="shared" si="0"/>
        <v>0,999133720630212-0,0293462619038667i</v>
      </c>
      <c r="AE19" s="10" t="str">
        <f t="shared" si="1"/>
        <v>0,999999998940107-0,0000453475237613981i</v>
      </c>
      <c r="AF19" s="10" t="str">
        <f t="shared" si="9"/>
        <v>72,2418518600503-2,12514525387356i</v>
      </c>
      <c r="AG19" s="10">
        <f t="shared" si="10"/>
        <v>72.273102898101143</v>
      </c>
      <c r="AH19" s="10">
        <f t="shared" si="2"/>
        <v>-2.9408611604546064E-2</v>
      </c>
      <c r="AI19" s="10">
        <f t="shared" si="3"/>
        <v>-1.6849893262799454</v>
      </c>
      <c r="AJ19" s="10">
        <f t="shared" si="4"/>
        <v>37.179534013301641</v>
      </c>
      <c r="AL19" s="10" t="str">
        <f t="shared" si="5"/>
        <v>0,852042286013057-0,351452224988759i</v>
      </c>
      <c r="AM19" s="10" t="str">
        <f t="shared" si="6"/>
        <v>0,999998925149302-0,00103170027150073i</v>
      </c>
      <c r="AN19" s="10" t="str">
        <f t="shared" si="11"/>
        <v>-331,241157497194+137,031118001522i</v>
      </c>
      <c r="AO19" s="10">
        <f t="shared" si="12"/>
        <v>358.46650013749951</v>
      </c>
      <c r="AP19" s="10">
        <f t="shared" si="13"/>
        <v>2.7493406369812332</v>
      </c>
      <c r="AQ19" s="10">
        <f t="shared" si="14"/>
        <v>157.52561494283404</v>
      </c>
      <c r="AR19" s="10">
        <f t="shared" si="15"/>
        <v>51.088971513313538</v>
      </c>
      <c r="AS19" s="10">
        <f t="shared" si="16"/>
        <v>88.268505526615172</v>
      </c>
      <c r="AT19" s="10">
        <f t="shared" si="17"/>
        <v>155.84062561655409</v>
      </c>
    </row>
    <row r="20" spans="19:46" x14ac:dyDescent="0.35">
      <c r="S20" s="10" t="s">
        <v>126</v>
      </c>
      <c r="T20" s="10">
        <f>0.5*(comp_R2+Rotaesd)/(comp_R2*Rotaesd*comp_C2)*(1+(1-4*comp_R2*Rotaesd*comp_C2/((comp_R2+Rotaesd)^2*comp_C1))^0.5)</f>
        <v>2008457.7162227153</v>
      </c>
      <c r="Y20" s="10">
        <v>18</v>
      </c>
      <c r="Z20" s="10">
        <f t="shared" si="7"/>
        <v>3.4673685045253162</v>
      </c>
      <c r="AA20" s="10" t="str">
        <f t="shared" si="8"/>
        <v>21,7861188422107i</v>
      </c>
      <c r="AC20" s="10">
        <f>1/(2*$T$3+$T$6*$T$2/('4. Boost Inductor'!$B$11*$T$3^2)*($T$5))</f>
        <v>0.32865720058048542</v>
      </c>
      <c r="AD20" s="10" t="str">
        <f t="shared" si="0"/>
        <v>0,99900550648062-0,0314410306970578i</v>
      </c>
      <c r="AE20" s="10" t="str">
        <f t="shared" si="1"/>
        <v>0,99999999878308-0,0000485907471511631i</v>
      </c>
      <c r="AF20" s="10" t="str">
        <f t="shared" si="9"/>
        <v>72,2325671366342-2,27684048610832i</v>
      </c>
      <c r="AG20" s="10">
        <f t="shared" si="10"/>
        <v>72.268442336524387</v>
      </c>
      <c r="AH20" s="10">
        <f t="shared" si="2"/>
        <v>-3.1510535450068024E-2</v>
      </c>
      <c r="AI20" s="10">
        <f t="shared" si="3"/>
        <v>-1.8054206914862616</v>
      </c>
      <c r="AJ20" s="10">
        <f t="shared" si="4"/>
        <v>37.178973881978074</v>
      </c>
      <c r="AL20" s="10" t="str">
        <f t="shared" si="5"/>
        <v>0,833828196226962-0,368371496638639i</v>
      </c>
      <c r="AM20" s="10" t="str">
        <f t="shared" si="6"/>
        <v>0,999998765906477-0,00110548658036356i</v>
      </c>
      <c r="AN20" s="10" t="str">
        <f t="shared" si="11"/>
        <v>-324,139795745247+143,628075632i</v>
      </c>
      <c r="AO20" s="10">
        <f t="shared" si="12"/>
        <v>354.53579691692903</v>
      </c>
      <c r="AP20" s="10">
        <f t="shared" si="13"/>
        <v>2.7244870976250204</v>
      </c>
      <c r="AQ20" s="10">
        <f t="shared" si="14"/>
        <v>156.10161203176077</v>
      </c>
      <c r="AR20" s="10">
        <f t="shared" si="15"/>
        <v>50.993201835155588</v>
      </c>
      <c r="AS20" s="10">
        <f t="shared" si="16"/>
        <v>88.172175717133655</v>
      </c>
      <c r="AT20" s="10">
        <f t="shared" si="17"/>
        <v>154.2961913402745</v>
      </c>
    </row>
    <row r="21" spans="19:46" x14ac:dyDescent="0.35">
      <c r="S21" s="10" t="s">
        <v>127</v>
      </c>
      <c r="T21" s="10">
        <f>0.5*(R0+comp_R2+Rotaesd)/(comp_R2*(R0+Rotaesd)*comp_C2)*(1-(1-4*comp_R2*(R0++Rotaesd)*comp_C2/((R0+comp_R2+Rotaesd)^2*comp_C1))^0.5)</f>
        <v>48.295709751178336</v>
      </c>
      <c r="Y21" s="10">
        <v>19</v>
      </c>
      <c r="Z21" s="10">
        <f t="shared" si="7"/>
        <v>3.7153522909717256</v>
      </c>
      <c r="AA21" s="10" t="str">
        <f t="shared" si="8"/>
        <v>23,3442469256296i</v>
      </c>
      <c r="AC21" s="10">
        <f>1/(2*$T$3+$T$6*$T$2/('4. Boost Inductor'!$B$11*$T$3^2)*($T$5))</f>
        <v>0.32865720058048542</v>
      </c>
      <c r="AD21" s="10" t="str">
        <f t="shared" si="0"/>
        <v>0,998858337718383-0,0336846834330673i</v>
      </c>
      <c r="AE21" s="10" t="str">
        <f t="shared" si="1"/>
        <v>0,999999998602789-0,0000520659236235974i</v>
      </c>
      <c r="AF21" s="10" t="str">
        <f t="shared" si="9"/>
        <v>72,2219098007846-2,43931733074574i</v>
      </c>
      <c r="AG21" s="10">
        <f t="shared" si="10"/>
        <v>72.263092407623574</v>
      </c>
      <c r="AH21" s="10">
        <f t="shared" si="2"/>
        <v>-3.37624746276773E-2</v>
      </c>
      <c r="AI21" s="10">
        <f t="shared" si="3"/>
        <v>-1.9344473020834347</v>
      </c>
      <c r="AJ21" s="10">
        <f t="shared" si="4"/>
        <v>37.178330854252565</v>
      </c>
      <c r="AL21" s="10" t="str">
        <f t="shared" si="5"/>
        <v>0,813871804130816-0,385071034968336i</v>
      </c>
      <c r="AM21" s="10" t="str">
        <f t="shared" si="6"/>
        <v>0,999998583071314-0,00118454999383787i</v>
      </c>
      <c r="AN21" s="10" t="str">
        <f t="shared" si="11"/>
        <v>-316,359140105682+150,139393348912i</v>
      </c>
      <c r="AO21" s="10">
        <f t="shared" si="12"/>
        <v>350.17844445880144</v>
      </c>
      <c r="AP21" s="10">
        <f t="shared" si="13"/>
        <v>2.6984827400169538</v>
      </c>
      <c r="AQ21" s="10">
        <f t="shared" si="14"/>
        <v>154.61167209186965</v>
      </c>
      <c r="AR21" s="10">
        <f t="shared" si="15"/>
        <v>50.885788183851034</v>
      </c>
      <c r="AS21" s="10">
        <f t="shared" si="16"/>
        <v>88.064119038103598</v>
      </c>
      <c r="AT21" s="10">
        <f t="shared" si="17"/>
        <v>152.67722478978621</v>
      </c>
    </row>
    <row r="22" spans="19:46" x14ac:dyDescent="0.35">
      <c r="S22" s="10" t="s">
        <v>128</v>
      </c>
      <c r="T22" s="10">
        <f>0.5*(R0+comp_R2+Rotaesd)/(comp_R2*(R0+Rotaesd)*comp_C2)*(1+(1-4*comp_R2*(R0++Rotaesd)*comp_C2/((R0+comp_R2+Rotaesd)^2*comp_C1))^0.5)</f>
        <v>19515.751085905526</v>
      </c>
      <c r="Y22" s="10">
        <v>20</v>
      </c>
      <c r="Z22" s="10">
        <f t="shared" si="7"/>
        <v>3.9810717055349727</v>
      </c>
      <c r="AA22" s="10" t="str">
        <f t="shared" si="8"/>
        <v>25,0138112470457i</v>
      </c>
      <c r="AC22" s="10">
        <f>1/(2*$T$3+$T$6*$T$2/('4. Boost Inductor'!$B$11*$T$3^2)*($T$5))</f>
        <v>0.32865720058048542</v>
      </c>
      <c r="AD22" s="10" t="str">
        <f t="shared" si="0"/>
        <v>0,998689419102826-0,036087654039553i</v>
      </c>
      <c r="AE22" s="10" t="str">
        <f t="shared" si="1"/>
        <v>0,999999998395787-0,0000557896423018143i</v>
      </c>
      <c r="AF22" s="10" t="str">
        <f t="shared" si="9"/>
        <v>72,2096774330601-2,61333137349116i</v>
      </c>
      <c r="AG22" s="10">
        <f t="shared" si="10"/>
        <v>72.256951332409955</v>
      </c>
      <c r="AH22" s="10">
        <f t="shared" si="2"/>
        <v>-3.6175086215973561E-2</v>
      </c>
      <c r="AI22" s="10">
        <f t="shared" si="3"/>
        <v>-2.0726797636971646</v>
      </c>
      <c r="AJ22" s="10">
        <f t="shared" si="4"/>
        <v>37.177592677038994</v>
      </c>
      <c r="AL22" s="10" t="str">
        <f t="shared" si="5"/>
        <v>0,792128829695333-0,401349702671066i</v>
      </c>
      <c r="AM22" s="10" t="str">
        <f t="shared" si="6"/>
        <v>0,999998373148542-0,00126926791735325i</v>
      </c>
      <c r="AN22" s="10" t="str">
        <f t="shared" si="11"/>
        <v>-307,881926535364+156,486653339722i</v>
      </c>
      <c r="AO22" s="10">
        <f t="shared" si="12"/>
        <v>345.36843133180776</v>
      </c>
      <c r="AP22" s="10">
        <f t="shared" si="13"/>
        <v>2.6713522274453441</v>
      </c>
      <c r="AQ22" s="10">
        <f t="shared" si="14"/>
        <v>153.05720822548977</v>
      </c>
      <c r="AR22" s="10">
        <f t="shared" si="15"/>
        <v>50.765652760461521</v>
      </c>
      <c r="AS22" s="10">
        <f t="shared" si="16"/>
        <v>87.943245437500508</v>
      </c>
      <c r="AT22" s="10">
        <f t="shared" si="17"/>
        <v>150.98452846179262</v>
      </c>
    </row>
    <row r="23" spans="19:46" x14ac:dyDescent="0.35">
      <c r="S23" s="10" t="s">
        <v>129</v>
      </c>
      <c r="T23" s="10">
        <f>$B$9*10^-9</f>
        <v>6.8000000000000005E-9</v>
      </c>
      <c r="U23" s="10" t="s">
        <v>121</v>
      </c>
      <c r="Y23" s="10">
        <v>21</v>
      </c>
      <c r="Z23" s="10">
        <f t="shared" si="7"/>
        <v>4.2657951880159262</v>
      </c>
      <c r="AA23" s="10" t="str">
        <f t="shared" si="8"/>
        <v>26,802781648779i</v>
      </c>
      <c r="AC23" s="10">
        <f>1/(2*$T$3+$T$6*$T$2/('4. Boost Inductor'!$B$11*$T$3^2)*($T$5))</f>
        <v>0.32865720058048542</v>
      </c>
      <c r="AD23" s="10" t="str">
        <f t="shared" si="0"/>
        <v>0,998495545378574-0,0386610735940286i</v>
      </c>
      <c r="AE23" s="10" t="str">
        <f t="shared" si="1"/>
        <v>0,999999998158117-0,0000597796787514396i</v>
      </c>
      <c r="AF23" s="10" t="str">
        <f t="shared" si="9"/>
        <v>72,1956379224985-2,79968868503794i</v>
      </c>
      <c r="AG23" s="10">
        <f t="shared" si="10"/>
        <v>72.249902365121812</v>
      </c>
      <c r="AH23" s="10">
        <f t="shared" si="2"/>
        <v>-3.8759772968117445E-2</v>
      </c>
      <c r="AI23" s="10">
        <f t="shared" si="3"/>
        <v>-2.2207714059583856</v>
      </c>
      <c r="AJ23" s="10">
        <f t="shared" si="4"/>
        <v>37.176745290905956</v>
      </c>
      <c r="AL23" s="10" t="str">
        <f t="shared" si="5"/>
        <v>0,768583721365537-0,416987071382457i</v>
      </c>
      <c r="AM23" s="10" t="str">
        <f t="shared" si="6"/>
        <v>0,999998132125062-0,00136004474594296i</v>
      </c>
      <c r="AN23" s="10" t="str">
        <f t="shared" si="11"/>
        <v>-298,702091726989+162,583916694953i</v>
      </c>
      <c r="AO23" s="10">
        <f t="shared" si="12"/>
        <v>340.08303334619615</v>
      </c>
      <c r="AP23" s="10">
        <f t="shared" si="13"/>
        <v>2.6431352218148936</v>
      </c>
      <c r="AQ23" s="10">
        <f t="shared" si="14"/>
        <v>151.4404928923681</v>
      </c>
      <c r="AR23" s="10">
        <f t="shared" si="15"/>
        <v>50.631699312695766</v>
      </c>
      <c r="AS23" s="10">
        <f t="shared" si="16"/>
        <v>87.808444603601714</v>
      </c>
      <c r="AT23" s="10">
        <f t="shared" si="17"/>
        <v>149.21972148640972</v>
      </c>
    </row>
    <row r="24" spans="19:46" x14ac:dyDescent="0.35">
      <c r="S24" s="10" t="s">
        <v>130</v>
      </c>
      <c r="T24" s="10">
        <f>$B$10*10^-9</f>
        <v>1.0000000000000001E-9</v>
      </c>
      <c r="U24" s="10" t="s">
        <v>121</v>
      </c>
      <c r="Y24" s="10">
        <v>22</v>
      </c>
      <c r="Z24" s="10">
        <f t="shared" si="7"/>
        <v>4.570881896148749</v>
      </c>
      <c r="AA24" s="10" t="str">
        <f t="shared" si="8"/>
        <v>28,719697970735i</v>
      </c>
      <c r="AC24" s="10">
        <f>1/(2*$T$3+$T$6*$T$2/('4. Boost Inductor'!$B$11*$T$3^2)*($T$5))</f>
        <v>0.32865720058048542</v>
      </c>
      <c r="AD24" s="10" t="str">
        <f t="shared" si="0"/>
        <v>0,99827304183222-0,0414168089788699i</v>
      </c>
      <c r="AE24" s="10" t="str">
        <f t="shared" si="1"/>
        <v>0,999999997885235-0,0000640550798341445i</v>
      </c>
      <c r="AF24" s="10" t="str">
        <f t="shared" si="9"/>
        <v>72,1795251619834-2,99924862032446i</v>
      </c>
      <c r="AG24" s="10">
        <f t="shared" si="10"/>
        <v>72.241811611392436</v>
      </c>
      <c r="AH24" s="10">
        <f t="shared" si="2"/>
        <v>-4.1528732859111468E-2</v>
      </c>
      <c r="AI24" s="10">
        <f t="shared" si="3"/>
        <v>-2.3794211213533476</v>
      </c>
      <c r="AJ24" s="10">
        <f t="shared" si="4"/>
        <v>37.175772565313316</v>
      </c>
      <c r="AL24" s="10" t="str">
        <f t="shared" si="5"/>
        <v>0,743255313168144-0,431747816011978i</v>
      </c>
      <c r="AM24" s="10" t="str">
        <f t="shared" si="6"/>
        <v>0,999997855393224-0,00145731379402177i</v>
      </c>
      <c r="AN24" s="10" t="str">
        <f t="shared" si="11"/>
        <v>-288,826978717669+168,339436693642i</v>
      </c>
      <c r="AO24" s="10">
        <f t="shared" si="12"/>
        <v>334.30403763865843</v>
      </c>
      <c r="AP24" s="10">
        <f t="shared" si="13"/>
        <v>2.6138876065146128</v>
      </c>
      <c r="AQ24" s="10">
        <f t="shared" si="14"/>
        <v>149.76472797483976</v>
      </c>
      <c r="AR24" s="10">
        <f t="shared" si="15"/>
        <v>50.482832438438265</v>
      </c>
      <c r="AS24" s="10">
        <f t="shared" si="16"/>
        <v>87.658605003751575</v>
      </c>
      <c r="AT24" s="10">
        <f t="shared" si="17"/>
        <v>147.38530685348641</v>
      </c>
    </row>
    <row r="25" spans="19:46" x14ac:dyDescent="0.35">
      <c r="Y25" s="10">
        <v>23</v>
      </c>
      <c r="Z25" s="10">
        <f t="shared" si="7"/>
        <v>4.8977881936844616</v>
      </c>
      <c r="AA25" s="10" t="str">
        <f t="shared" si="8"/>
        <v>30,7737108162359i</v>
      </c>
      <c r="AC25" s="10">
        <f>1/(2*$T$3+$T$6*$T$2/('4. Boost Inductor'!$B$11*$T$3^2)*($T$5))</f>
        <v>0.32865720058048542</v>
      </c>
      <c r="AD25" s="10" t="str">
        <f t="shared" si="0"/>
        <v>0,998017696453346-0,0443675017603439i</v>
      </c>
      <c r="AE25" s="10" t="str">
        <f t="shared" si="1"/>
        <v>0,999999997571925-0,0000686362546298414i</v>
      </c>
      <c r="AF25" s="10" t="str">
        <f t="shared" si="9"/>
        <v>72,1610341356341-3,21292663401563i</v>
      </c>
      <c r="AG25" s="10">
        <f t="shared" si="10"/>
        <v>72.232525534413625</v>
      </c>
      <c r="AH25" s="10">
        <f t="shared" si="2"/>
        <v>-4.4495011313574528E-2</v>
      </c>
      <c r="AI25" s="10">
        <f t="shared" si="3"/>
        <v>-2.54937635765467</v>
      </c>
      <c r="AJ25" s="10">
        <f t="shared" si="4"/>
        <v>37.174655995526415</v>
      </c>
      <c r="AL25" s="10" t="str">
        <f t="shared" si="5"/>
        <v>0,716201802940952-0,445387799830764i</v>
      </c>
      <c r="AM25" s="10" t="str">
        <f t="shared" si="6"/>
        <v>0,999997537662754-0,00156153936306524i</v>
      </c>
      <c r="AN25" s="10" t="str">
        <f t="shared" si="11"/>
        <v>-278,279277814584+173,658031286476i</v>
      </c>
      <c r="AO25" s="10">
        <f t="shared" si="12"/>
        <v>328.01900599096564</v>
      </c>
      <c r="AP25" s="10">
        <f t="shared" si="13"/>
        <v>2.5836823418482777</v>
      </c>
      <c r="AQ25" s="10">
        <f t="shared" si="14"/>
        <v>148.03409379038311</v>
      </c>
      <c r="AR25" s="10">
        <f t="shared" si="15"/>
        <v>50.317980164347212</v>
      </c>
      <c r="AS25" s="10">
        <f t="shared" si="16"/>
        <v>87.492636159873626</v>
      </c>
      <c r="AT25" s="10">
        <f t="shared" si="17"/>
        <v>145.48471743272844</v>
      </c>
    </row>
    <row r="26" spans="19:46" x14ac:dyDescent="0.35">
      <c r="Y26" s="10">
        <v>24</v>
      </c>
      <c r="Z26" s="10">
        <f t="shared" si="7"/>
        <v>5.2480746024977245</v>
      </c>
      <c r="AA26" s="10" t="str">
        <f t="shared" si="8"/>
        <v>32,974625233396i</v>
      </c>
      <c r="AC26" s="10">
        <f>1/(2*$T$3+$T$6*$T$2/('4. Boost Inductor'!$B$11*$T$3^2)*($T$5))</f>
        <v>0.32865720058048542</v>
      </c>
      <c r="AD26" s="10" t="str">
        <f t="shared" si="0"/>
        <v>0,99772468258522-0,047526606738853i</v>
      </c>
      <c r="AE26" s="10" t="str">
        <f t="shared" si="1"/>
        <v>0,999999997212197-0,0000735450718615696i</v>
      </c>
      <c r="AF26" s="10" t="str">
        <f t="shared" si="9"/>
        <v>72,1398153174979-3,44169707217727i</v>
      </c>
      <c r="AG26" s="10">
        <f t="shared" si="10"/>
        <v>72.221868106407626</v>
      </c>
      <c r="AH26" s="10">
        <f t="shared" si="2"/>
        <v>-4.7672556110254651E-2</v>
      </c>
      <c r="AI26" s="10">
        <f t="shared" si="3"/>
        <v>-2.7314362637181961</v>
      </c>
      <c r="AJ26" s="10">
        <f t="shared" si="4"/>
        <v>37.173374355815497</v>
      </c>
      <c r="AL26" s="10" t="str">
        <f t="shared" si="5"/>
        <v>0,687524512653779-0,45766177278482i</v>
      </c>
      <c r="AM26" s="10" t="str">
        <f t="shared" si="6"/>
        <v>0,999997172859615-0,00167321895702626i</v>
      </c>
      <c r="AN26" s="10" t="str">
        <f t="shared" si="11"/>
        <v>-267,098492678955+178,444084548656i</v>
      </c>
      <c r="AO26" s="10">
        <f t="shared" si="12"/>
        <v>321.22250248352412</v>
      </c>
      <c r="AP26" s="10">
        <f t="shared" si="13"/>
        <v>2.5526098359567726</v>
      </c>
      <c r="AQ26" s="10">
        <f t="shared" si="14"/>
        <v>146.25377034390448</v>
      </c>
      <c r="AR26" s="10">
        <f t="shared" si="15"/>
        <v>50.136119222924506</v>
      </c>
      <c r="AS26" s="10">
        <f t="shared" si="16"/>
        <v>87.309493578740003</v>
      </c>
      <c r="AT26" s="10">
        <f t="shared" si="17"/>
        <v>143.52233408018628</v>
      </c>
    </row>
    <row r="27" spans="19:46" x14ac:dyDescent="0.35">
      <c r="Y27" s="10">
        <v>25</v>
      </c>
      <c r="Z27" s="10">
        <f t="shared" si="7"/>
        <v>5.6234132519034903</v>
      </c>
      <c r="AA27" s="10" t="str">
        <f t="shared" si="8"/>
        <v>35,332947520559i</v>
      </c>
      <c r="AC27" s="10">
        <f>1/(2*$T$3+$T$6*$T$2/('4. Boost Inductor'!$B$11*$T$3^2)*($T$5))</f>
        <v>0.32865720058048542</v>
      </c>
      <c r="AD27" s="10" t="str">
        <f t="shared" si="0"/>
        <v>0,997388470825654-0,0509084294536558i</v>
      </c>
      <c r="AE27" s="10" t="str">
        <f t="shared" si="1"/>
        <v>0,999999996799174-0,0000788049642881392i</v>
      </c>
      <c r="AF27" s="10" t="str">
        <f t="shared" si="9"/>
        <v>72,115468291785-3,68659588824015i</v>
      </c>
      <c r="AG27" s="10">
        <f t="shared" si="10"/>
        <v>72.209637557507776</v>
      </c>
      <c r="AH27" s="10">
        <f t="shared" si="2"/>
        <v>-5.1076274915572498E-2</v>
      </c>
      <c r="AI27" s="10">
        <f t="shared" si="3"/>
        <v>-2.9264549859122195</v>
      </c>
      <c r="AJ27" s="10">
        <f t="shared" si="4"/>
        <v>37.171903302838196</v>
      </c>
      <c r="AL27" s="10" t="str">
        <f t="shared" si="5"/>
        <v>0,65736988178594-0,468332417827573i</v>
      </c>
      <c r="AM27" s="10" t="str">
        <f t="shared" si="6"/>
        <v>0,999996754009901-0,00179288565602264i</v>
      </c>
      <c r="AN27" s="10" t="str">
        <f t="shared" si="11"/>
        <v>-255,341717509031+182,605073703252i</v>
      </c>
      <c r="AO27" s="10">
        <f t="shared" si="12"/>
        <v>313.91719551918766</v>
      </c>
      <c r="AP27" s="10">
        <f t="shared" si="13"/>
        <v>2.5207777260497068</v>
      </c>
      <c r="AQ27" s="10">
        <f t="shared" si="14"/>
        <v>144.42992479323303</v>
      </c>
      <c r="AR27" s="10">
        <f t="shared" si="15"/>
        <v>49.936302116138904</v>
      </c>
      <c r="AS27" s="10">
        <f t="shared" si="16"/>
        <v>87.108205418977093</v>
      </c>
      <c r="AT27" s="10">
        <f t="shared" si="17"/>
        <v>141.50346980732081</v>
      </c>
    </row>
    <row r="28" spans="19:46" x14ac:dyDescent="0.35">
      <c r="Y28" s="10">
        <v>26</v>
      </c>
      <c r="Z28" s="10">
        <f t="shared" si="7"/>
        <v>6.0255958607435751</v>
      </c>
      <c r="AA28" s="10" t="str">
        <f t="shared" si="8"/>
        <v>37,8599353792262i</v>
      </c>
      <c r="AC28" s="10">
        <f>1/(2*$T$3+$T$6*$T$2/('4. Boost Inductor'!$B$11*$T$3^2)*($T$5))</f>
        <v>0.32865720058048542</v>
      </c>
      <c r="AD28" s="10" t="str">
        <f t="shared" si="0"/>
        <v>0,997002728807508-0,0545281617237067i</v>
      </c>
      <c r="AE28" s="10" t="str">
        <f t="shared" si="1"/>
        <v>0,99999999632496-0,0000844410405628542i</v>
      </c>
      <c r="AF28" s="10" t="str">
        <f t="shared" si="9"/>
        <v>72,0875344953987-3,94872321675052i</v>
      </c>
      <c r="AG28" s="10">
        <f t="shared" si="10"/>
        <v>72.195602668499149</v>
      </c>
      <c r="AH28" s="10">
        <f t="shared" si="2"/>
        <v>-5.4722095341904288E-2</v>
      </c>
      <c r="AI28" s="10">
        <f t="shared" si="3"/>
        <v>-3.1353451092036178</v>
      </c>
      <c r="AJ28" s="10">
        <f t="shared" si="4"/>
        <v>37.170214922316767</v>
      </c>
      <c r="AL28" s="10" t="str">
        <f t="shared" si="5"/>
        <v>0,625929206653589-0,477180277274432i</v>
      </c>
      <c r="AM28" s="10" t="str">
        <f t="shared" si="6"/>
        <v>0,999996273106523-0,00192111065957461i</v>
      </c>
      <c r="AN28" s="10" t="str">
        <f t="shared" si="11"/>
        <v>-243,083535407525+186,055439251018i</v>
      </c>
      <c r="AO28" s="10">
        <f t="shared" si="12"/>
        <v>306.11473610577895</v>
      </c>
      <c r="AP28" s="10">
        <f t="shared" si="13"/>
        <v>2.4883099905259849</v>
      </c>
      <c r="AQ28" s="10">
        <f t="shared" si="14"/>
        <v>142.56966057737679</v>
      </c>
      <c r="AR28" s="10">
        <f t="shared" si="15"/>
        <v>49.717684733428641</v>
      </c>
      <c r="AS28" s="10">
        <f t="shared" si="16"/>
        <v>86.8878996557454</v>
      </c>
      <c r="AT28" s="10">
        <f t="shared" si="17"/>
        <v>139.43431546817317</v>
      </c>
    </row>
    <row r="29" spans="19:46" x14ac:dyDescent="0.35">
      <c r="Y29" s="10">
        <v>27</v>
      </c>
      <c r="Z29" s="10">
        <f t="shared" si="7"/>
        <v>6.4565422903465537</v>
      </c>
      <c r="AA29" s="10" t="str">
        <f t="shared" si="8"/>
        <v>40,5676516538891i</v>
      </c>
      <c r="AC29" s="10">
        <f>1/(2*$T$3+$T$6*$T$2/('4. Boost Inductor'!$B$11*$T$3^2)*($T$5))</f>
        <v>0.32865720058048542</v>
      </c>
      <c r="AD29" s="10" t="str">
        <f t="shared" si="0"/>
        <v>0,996560207354094-0,0584019140593364i</v>
      </c>
      <c r="AE29" s="10" t="str">
        <f t="shared" si="1"/>
        <v>0,999999995780489-0,0000904802050922948i</v>
      </c>
      <c r="AF29" s="10" t="str">
        <f t="shared" si="9"/>
        <v>72,0554889737941-4,22924572052249i</v>
      </c>
      <c r="AG29" s="10">
        <f t="shared" si="10"/>
        <v>72.179498547836431</v>
      </c>
      <c r="AH29" s="10">
        <f t="shared" si="2"/>
        <v>-5.8627027354184062E-2</v>
      </c>
      <c r="AI29" s="10">
        <f t="shared" si="3"/>
        <v>-3.3590812327927759</v>
      </c>
      <c r="AJ29" s="10">
        <f t="shared" si="4"/>
        <v>37.168277211254448</v>
      </c>
      <c r="AL29" s="10" t="str">
        <f t="shared" si="5"/>
        <v>0,593435782475674-0,48401390379439i</v>
      </c>
      <c r="AM29" s="10" t="str">
        <f t="shared" si="6"/>
        <v>0,999995720956143-0,0020585060114696i</v>
      </c>
      <c r="AN29" s="10" t="str">
        <f t="shared" si="11"/>
        <v>-230,414904121332+188,720542683366i</v>
      </c>
      <c r="AO29" s="10">
        <f t="shared" si="12"/>
        <v>297.83631624089566</v>
      </c>
      <c r="AP29" s="10">
        <f t="shared" si="13"/>
        <v>2.4553453522403896</v>
      </c>
      <c r="AQ29" s="10">
        <f t="shared" si="14"/>
        <v>140.68092593043681</v>
      </c>
      <c r="AR29" s="10">
        <f t="shared" si="15"/>
        <v>49.479553034301702</v>
      </c>
      <c r="AS29" s="10">
        <f t="shared" si="16"/>
        <v>86.64783024555615</v>
      </c>
      <c r="AT29" s="10">
        <f t="shared" si="17"/>
        <v>137.32184469764402</v>
      </c>
    </row>
    <row r="30" spans="19:46" x14ac:dyDescent="0.35">
      <c r="Y30" s="10">
        <v>28</v>
      </c>
      <c r="Z30" s="10">
        <f t="shared" si="7"/>
        <v>6.9183097091893631</v>
      </c>
      <c r="AA30" s="10" t="str">
        <f t="shared" si="8"/>
        <v>43,4690219152965i</v>
      </c>
      <c r="AC30" s="10">
        <f>1/(2*$T$3+$T$6*$T$2/('4. Boost Inductor'!$B$11*$T$3^2)*($T$5))</f>
        <v>0.32865720058048542</v>
      </c>
      <c r="AD30" s="10" t="str">
        <f t="shared" si="0"/>
        <v>0,996052611371479-0,0625467434784138i</v>
      </c>
      <c r="AE30" s="10" t="str">
        <f t="shared" si="1"/>
        <v>0,999999995155354-0,0000969512864673041i</v>
      </c>
      <c r="AF30" s="10" t="str">
        <f t="shared" si="9"/>
        <v>72,0187310315479-4,52939860500532i</v>
      </c>
      <c r="AG30" s="10">
        <f t="shared" si="10"/>
        <v>72.161021827004816</v>
      </c>
      <c r="AH30" s="10">
        <f t="shared" si="2"/>
        <v>-6.2809227757318023E-2</v>
      </c>
      <c r="AI30" s="10">
        <f t="shared" si="3"/>
        <v>-3.5987036649702637</v>
      </c>
      <c r="AJ30" s="10">
        <f t="shared" si="4"/>
        <v>37.166053486988019</v>
      </c>
      <c r="AL30" s="10" t="str">
        <f t="shared" si="5"/>
        <v>0,560159326490647-0,488679445007145i</v>
      </c>
      <c r="AM30" s="10" t="str">
        <f t="shared" si="6"/>
        <v>0,999995087003444-0,00220572751918286i</v>
      </c>
      <c r="AN30" s="10" t="str">
        <f t="shared" si="11"/>
        <v>-217,440981709481+190,540403368979i</v>
      </c>
      <c r="AO30" s="10">
        <f t="shared" si="12"/>
        <v>289.11282545538535</v>
      </c>
      <c r="AP30" s="10">
        <f t="shared" si="13"/>
        <v>2.4220349844203763</v>
      </c>
      <c r="AQ30" s="10">
        <f t="shared" si="14"/>
        <v>138.77238244032165</v>
      </c>
      <c r="AR30" s="10">
        <f t="shared" si="15"/>
        <v>49.221347160355577</v>
      </c>
      <c r="AS30" s="10">
        <f t="shared" si="16"/>
        <v>86.387400647343597</v>
      </c>
      <c r="AT30" s="10">
        <f t="shared" si="17"/>
        <v>135.17367877535139</v>
      </c>
    </row>
    <row r="31" spans="19:46" x14ac:dyDescent="0.35">
      <c r="Y31" s="10">
        <v>29</v>
      </c>
      <c r="Z31" s="10">
        <f t="shared" si="7"/>
        <v>7.4131024130091765</v>
      </c>
      <c r="AA31" s="10" t="str">
        <f t="shared" si="8"/>
        <v>46,5778961620368i</v>
      </c>
      <c r="AC31" s="10">
        <f>1/(2*$T$3+$T$6*$T$2/('4. Boost Inductor'!$B$11*$T$3^2)*($T$5))</f>
        <v>0.32865720058048542</v>
      </c>
      <c r="AD31" s="10" t="str">
        <f t="shared" si="0"/>
        <v>0,995470453713853-0,066980674895207i</v>
      </c>
      <c r="AE31" s="10" t="str">
        <f t="shared" si="1"/>
        <v>0,999999994437602-0,000103885175079264i</v>
      </c>
      <c r="AF31" s="10" t="str">
        <f t="shared" si="9"/>
        <v>71,9765736499091-4,85048716721553i</v>
      </c>
      <c r="AG31" s="10">
        <f t="shared" si="10"/>
        <v>72.139825201757404</v>
      </c>
      <c r="AH31" s="10">
        <f t="shared" si="2"/>
        <v>-6.7288066382722542E-2</v>
      </c>
      <c r="AI31" s="10">
        <f t="shared" si="3"/>
        <v>-3.8553222153261175</v>
      </c>
      <c r="AJ31" s="10">
        <f t="shared" si="4"/>
        <v>37.163501713346861</v>
      </c>
      <c r="AL31" s="10" t="str">
        <f t="shared" si="5"/>
        <v>0,526397837631293-0,491068821393699i</v>
      </c>
      <c r="AM31" s="10" t="str">
        <f t="shared" si="6"/>
        <v>0,999994359129358-0,00236347788169415i</v>
      </c>
      <c r="AN31" s="10" t="str">
        <f t="shared" si="11"/>
        <v>-204,277952768986+191,472886998705i</v>
      </c>
      <c r="AO31" s="10">
        <f t="shared" si="12"/>
        <v>279.98455036502804</v>
      </c>
      <c r="AP31" s="10">
        <f t="shared" si="13"/>
        <v>2.388539588663912</v>
      </c>
      <c r="AQ31" s="10">
        <f t="shared" si="14"/>
        <v>136.85323763035584</v>
      </c>
      <c r="AR31" s="10">
        <f t="shared" si="15"/>
        <v>48.942681349963394</v>
      </c>
      <c r="AS31" s="10">
        <f t="shared" si="16"/>
        <v>86.106183063310255</v>
      </c>
      <c r="AT31" s="10">
        <f t="shared" si="17"/>
        <v>132.99791541502972</v>
      </c>
    </row>
    <row r="32" spans="19:46" x14ac:dyDescent="0.35">
      <c r="Y32" s="10">
        <v>30</v>
      </c>
      <c r="Z32" s="10">
        <f t="shared" si="7"/>
        <v>7.943282347242814</v>
      </c>
      <c r="AA32" s="10" t="str">
        <f t="shared" si="8"/>
        <v>49,909114934975i</v>
      </c>
      <c r="AC32" s="10">
        <f>1/(2*$T$3+$T$6*$T$2/('4. Boost Inductor'!$B$11*$T$3^2)*($T$5))</f>
        <v>0.32865720058048542</v>
      </c>
      <c r="AD32" s="10" t="str">
        <f t="shared" si="0"/>
        <v>0,994802890148631-0,0717227138088204i</v>
      </c>
      <c r="AE32" s="10" t="str">
        <f t="shared" si="1"/>
        <v>0,999999993613513-0,000111314970578578i</v>
      </c>
      <c r="AF32" s="10" t="str">
        <f t="shared" si="9"/>
        <v>71,9282315356748-5,1938877146244i</v>
      </c>
      <c r="AG32" s="10">
        <f t="shared" si="10"/>
        <v>72.115511240244075</v>
      </c>
      <c r="AH32" s="10">
        <f t="shared" si="2"/>
        <v>-7.2084193450190334E-2</v>
      </c>
      <c r="AI32" s="10">
        <f t="shared" si="3"/>
        <v>-4.1301200543004786</v>
      </c>
      <c r="AJ32" s="10">
        <f t="shared" si="4"/>
        <v>37.160573733092157</v>
      </c>
      <c r="AL32" s="10" t="str">
        <f t="shared" si="5"/>
        <v>0,492467342646721-0,491125718031938i</v>
      </c>
      <c r="AM32" s="10" t="str">
        <f t="shared" si="6"/>
        <v>0,99999352341941-0,00253251004051273i</v>
      </c>
      <c r="AN32" s="10" t="str">
        <f t="shared" si="11"/>
        <v>-191,049030622549+191,49604167963i</v>
      </c>
      <c r="AO32" s="10">
        <f t="shared" si="12"/>
        <v>270.50039940965382</v>
      </c>
      <c r="AP32" s="10">
        <f t="shared" si="13"/>
        <v>2.3550259720594724</v>
      </c>
      <c r="AQ32" s="10">
        <f t="shared" si="14"/>
        <v>134.93304884270191</v>
      </c>
      <c r="AR32" s="10">
        <f t="shared" si="15"/>
        <v>48.643358214085083</v>
      </c>
      <c r="AS32" s="10">
        <f t="shared" si="16"/>
        <v>85.803931947177233</v>
      </c>
      <c r="AT32" s="10">
        <f t="shared" si="17"/>
        <v>130.80292878840143</v>
      </c>
    </row>
    <row r="33" spans="25:46" x14ac:dyDescent="0.35">
      <c r="Y33" s="10">
        <v>31</v>
      </c>
      <c r="Z33" s="10">
        <f t="shared" si="7"/>
        <v>8.5113803820237646</v>
      </c>
      <c r="AA33" s="10" t="str">
        <f t="shared" si="8"/>
        <v>53,4785801601483i</v>
      </c>
      <c r="AC33" s="10">
        <f>1/(2*$T$3+$T$6*$T$2/('4. Boost Inductor'!$B$11*$T$3^2)*($T$5))</f>
        <v>0.32865720058048542</v>
      </c>
      <c r="AD33" s="10" t="str">
        <f t="shared" si="0"/>
        <v>0,994037533467277-0,0767928474879425i</v>
      </c>
      <c r="AE33" s="10" t="str">
        <f t="shared" si="1"/>
        <v>0,999999992667332-0,000119276139879275i</v>
      </c>
      <c r="AF33" s="10" t="str">
        <f t="shared" si="9"/>
        <v>71,8728076598855-5,5610476510004i</v>
      </c>
      <c r="AG33" s="10">
        <f t="shared" si="10"/>
        <v>72.087625372816873</v>
      </c>
      <c r="AH33" s="10">
        <f t="shared" si="2"/>
        <v>-7.7219607405522334E-2</v>
      </c>
      <c r="AI33" s="10">
        <f t="shared" si="3"/>
        <v>-4.4243575999935869</v>
      </c>
      <c r="AJ33" s="10">
        <f t="shared" si="4"/>
        <v>37.157214394652755</v>
      </c>
      <c r="AL33" s="10" t="str">
        <f t="shared" si="5"/>
        <v>0,458690241440544-0,488848785935968i</v>
      </c>
      <c r="AM33" s="10" t="str">
        <f t="shared" si="6"/>
        <v>0,999992563897745-0,00271363076976152i</v>
      </c>
      <c r="AN33" s="10" t="str">
        <f t="shared" si="11"/>
        <v>-177,879913364526+190,609346102953i</v>
      </c>
      <c r="AO33" s="10">
        <f t="shared" si="12"/>
        <v>260.71667840851035</v>
      </c>
      <c r="AP33" s="10">
        <f t="shared" si="13"/>
        <v>2.3216632997414828</v>
      </c>
      <c r="AQ33" s="10">
        <f t="shared" si="14"/>
        <v>133.02150852560314</v>
      </c>
      <c r="AR33" s="10">
        <f t="shared" si="15"/>
        <v>48.323376289580217</v>
      </c>
      <c r="AS33" s="10">
        <f t="shared" si="16"/>
        <v>85.480590684232965</v>
      </c>
      <c r="AT33" s="10">
        <f t="shared" si="17"/>
        <v>128.59715092560955</v>
      </c>
    </row>
    <row r="34" spans="25:46" x14ac:dyDescent="0.35">
      <c r="Y34" s="10">
        <v>32</v>
      </c>
      <c r="Z34" s="10">
        <f t="shared" si="7"/>
        <v>9.1201083935590948</v>
      </c>
      <c r="AA34" s="10" t="str">
        <f t="shared" si="8"/>
        <v>57,3033310582957i</v>
      </c>
      <c r="AC34" s="10">
        <f>1/(2*$T$3+$T$6*$T$2/('4. Boost Inductor'!$B$11*$T$3^2)*($T$5))</f>
        <v>0.32865720058048542</v>
      </c>
      <c r="AD34" s="10" t="str">
        <f t="shared" si="0"/>
        <v>0,993160244753044-0,0822120312157279i</v>
      </c>
      <c r="AE34" s="10" t="str">
        <f t="shared" si="1"/>
        <v>0,999999991580969-0,000127806686463967i</v>
      </c>
      <c r="AF34" s="10" t="str">
        <f t="shared" si="9"/>
        <v>71,8092781423233-5,95348448037353i</v>
      </c>
      <c r="AG34" s="10">
        <f t="shared" si="10"/>
        <v>72.055647972796677</v>
      </c>
      <c r="AH34" s="10">
        <f t="shared" si="2"/>
        <v>-8.2717722318300227E-2</v>
      </c>
      <c r="AI34" s="10">
        <f t="shared" si="3"/>
        <v>-4.7393763797736987</v>
      </c>
      <c r="AJ34" s="10">
        <f t="shared" si="4"/>
        <v>37.153360559983987</v>
      </c>
      <c r="AL34" s="10" t="str">
        <f t="shared" si="5"/>
        <v>0,425383147515317-0,484291719402907i</v>
      </c>
      <c r="AM34" s="10" t="str">
        <f t="shared" si="6"/>
        <v>0,999991462221765-0,00290770452227847i</v>
      </c>
      <c r="AN34" s="10" t="str">
        <f t="shared" si="11"/>
        <v>-164,894043057259+188,833739722275i</v>
      </c>
      <c r="AO34" s="10">
        <f t="shared" si="12"/>
        <v>250.69548598502743</v>
      </c>
      <c r="AP34" s="10">
        <f t="shared" si="13"/>
        <v>2.2886192326151988</v>
      </c>
      <c r="AQ34" s="10">
        <f t="shared" si="14"/>
        <v>131.1282229413201</v>
      </c>
      <c r="AR34" s="10">
        <f t="shared" si="15"/>
        <v>47.982930282718911</v>
      </c>
      <c r="AS34" s="10">
        <f t="shared" si="16"/>
        <v>85.136290842702891</v>
      </c>
      <c r="AT34" s="10">
        <f t="shared" si="17"/>
        <v>126.3888465615464</v>
      </c>
    </row>
    <row r="35" spans="25:46" x14ac:dyDescent="0.35">
      <c r="Y35" s="10">
        <v>33</v>
      </c>
      <c r="Z35" s="10">
        <f t="shared" si="7"/>
        <v>9.7723722095581049</v>
      </c>
      <c r="AA35" s="10" t="str">
        <f t="shared" si="8"/>
        <v>61,4016254833856i</v>
      </c>
      <c r="AC35" s="10">
        <f>1/(2*$T$3+$T$6*$T$2/('4. Boost Inductor'!$B$11*$T$3^2)*($T$5))</f>
        <v>0.32865720058048542</v>
      </c>
      <c r="AD35" s="10" t="str">
        <f t="shared" si="0"/>
        <v>0,992154899850577-0,0880021554082896i</v>
      </c>
      <c r="AE35" s="10" t="str">
        <f t="shared" si="1"/>
        <v>0,99999999033366-0,000136947331797368i</v>
      </c>
      <c r="AF35" s="10" t="str">
        <f t="shared" si="9"/>
        <v>71,7364753402335-6,37278342595161i</v>
      </c>
      <c r="AG35" s="10">
        <f t="shared" si="10"/>
        <v>72.01898543324539</v>
      </c>
      <c r="AH35" s="10">
        <f t="shared" si="2"/>
        <v>-8.8603433660181252E-2</v>
      </c>
      <c r="AI35" s="10">
        <f t="shared" si="3"/>
        <v>-5.0766027990957614</v>
      </c>
      <c r="AJ35" s="10">
        <f t="shared" si="4"/>
        <v>37.148939979181684</v>
      </c>
      <c r="AL35" s="10" t="str">
        <f t="shared" si="5"/>
        <v>0,392845187036509-0,477560201217313i</v>
      </c>
      <c r="AM35" s="10" t="str">
        <f t="shared" si="6"/>
        <v>0,999990197331521-0,0031156575498746i</v>
      </c>
      <c r="AN35" s="10" t="str">
        <f t="shared" si="11"/>
        <v>-152,208043735032+186,210431764954i</v>
      </c>
      <c r="AO35" s="10">
        <f t="shared" si="12"/>
        <v>240.5028346521845</v>
      </c>
      <c r="AP35" s="10">
        <f t="shared" si="13"/>
        <v>2.2560561721697141</v>
      </c>
      <c r="AQ35" s="10">
        <f t="shared" si="14"/>
        <v>129.26249700976442</v>
      </c>
      <c r="AR35" s="10">
        <f t="shared" si="15"/>
        <v>47.622403989793426</v>
      </c>
      <c r="AS35" s="10">
        <f t="shared" si="16"/>
        <v>84.771343968975117</v>
      </c>
      <c r="AT35" s="10">
        <f t="shared" si="17"/>
        <v>124.18589421066865</v>
      </c>
    </row>
    <row r="36" spans="25:46" x14ac:dyDescent="0.35">
      <c r="Y36" s="10">
        <v>34</v>
      </c>
      <c r="Z36" s="10">
        <f t="shared" si="7"/>
        <v>10.471285480508991</v>
      </c>
      <c r="AA36" s="10" t="str">
        <f t="shared" si="8"/>
        <v>65,793027078417i</v>
      </c>
      <c r="AC36" s="10">
        <f>1/(2*$T$3+$T$6*$T$2/('4. Boost Inductor'!$B$11*$T$3^2)*($T$5))</f>
        <v>0.32865720058048542</v>
      </c>
      <c r="AD36" s="10" t="str">
        <f t="shared" si="0"/>
        <v>0,991003129214818-0,0941859885379638i</v>
      </c>
      <c r="AE36" s="10" t="str">
        <f t="shared" si="1"/>
        <v>0,999999988901557-0,000146741709714352i</v>
      </c>
      <c r="AF36" s="10" t="str">
        <f t="shared" si="9"/>
        <v>71,6530690092885-6,82059329692487i</v>
      </c>
      <c r="AG36" s="10">
        <f t="shared" si="10"/>
        <v>71.976960142617287</v>
      </c>
      <c r="AH36" s="10">
        <f t="shared" si="2"/>
        <v>-9.4903180963484005E-2</v>
      </c>
      <c r="AI36" s="10">
        <f t="shared" si="3"/>
        <v>-5.4375517315739312</v>
      </c>
      <c r="AJ36" s="10">
        <f t="shared" si="4"/>
        <v>37.143870016339221</v>
      </c>
      <c r="AL36" s="10" t="str">
        <f t="shared" si="5"/>
        <v>0,361347658568998-0,468806034367439i</v>
      </c>
      <c r="AM36" s="10" t="str">
        <f t="shared" si="6"/>
        <v>0,999988745047192-0,00333848231714536i</v>
      </c>
      <c r="AN36" s="10" t="str">
        <f t="shared" si="11"/>
        <v>-139,927689910576+182,798613314408i</v>
      </c>
      <c r="AO36" s="10">
        <f t="shared" si="12"/>
        <v>230.20662769212524</v>
      </c>
      <c r="AP36" s="10">
        <f t="shared" si="13"/>
        <v>2.2241278232304924</v>
      </c>
      <c r="AQ36" s="10">
        <f t="shared" si="14"/>
        <v>127.43313736872602</v>
      </c>
      <c r="AR36" s="10">
        <f t="shared" si="15"/>
        <v>47.242356457872241</v>
      </c>
      <c r="AS36" s="10">
        <f t="shared" si="16"/>
        <v>84.386226474211469</v>
      </c>
      <c r="AT36" s="10">
        <f t="shared" si="17"/>
        <v>121.99558563715209</v>
      </c>
    </row>
    <row r="37" spans="25:46" x14ac:dyDescent="0.35">
      <c r="Y37" s="10">
        <v>35</v>
      </c>
      <c r="Z37" s="10">
        <f t="shared" si="7"/>
        <v>11.220184543019631</v>
      </c>
      <c r="AA37" s="10" t="str">
        <f t="shared" si="8"/>
        <v>70,4984986645444i</v>
      </c>
      <c r="AC37" s="10">
        <f>1/(2*$T$3+$T$6*$T$2/('4. Boost Inductor'!$B$11*$T$3^2)*($T$5))</f>
        <v>0.32865720058048542</v>
      </c>
      <c r="AD37" s="10" t="str">
        <f t="shared" si="0"/>
        <v>0,989684029586899-0,100787089765087i</v>
      </c>
      <c r="AE37" s="10" t="str">
        <f t="shared" si="1"/>
        <v>0,999999987257283-0,000157236574710484i</v>
      </c>
      <c r="AF37" s="10" t="str">
        <f t="shared" si="9"/>
        <v>71,5575454243826-7,29862016169429i</v>
      </c>
      <c r="AG37" s="10">
        <f t="shared" si="10"/>
        <v>71.928799263071738</v>
      </c>
      <c r="AH37" s="10">
        <f t="shared" si="2"/>
        <v>-0.10164500547302559</v>
      </c>
      <c r="AI37" s="10">
        <f t="shared" si="3"/>
        <v>-5.8238298221885199</v>
      </c>
      <c r="AJ37" s="10">
        <f t="shared" si="4"/>
        <v>37.138056210110058</v>
      </c>
      <c r="AL37" s="10" t="str">
        <f t="shared" si="5"/>
        <v>0,331125777350947-0,458219053299501i</v>
      </c>
      <c r="AM37" s="10" t="str">
        <f t="shared" si="6"/>
        <v>0,999987077606932-0,00357724222957157i</v>
      </c>
      <c r="AN37" s="10" t="str">
        <f t="shared" si="11"/>
        <v>-128,144687806567+178,672303674238i</v>
      </c>
      <c r="AO37" s="10">
        <f t="shared" si="12"/>
        <v>219.87463044494615</v>
      </c>
      <c r="AP37" s="10">
        <f t="shared" si="13"/>
        <v>2.1929762530157166</v>
      </c>
      <c r="AQ37" s="10">
        <f t="shared" si="14"/>
        <v>125.64828387021394</v>
      </c>
      <c r="AR37" s="10">
        <f t="shared" si="15"/>
        <v>46.843502450483243</v>
      </c>
      <c r="AS37" s="10">
        <f t="shared" si="16"/>
        <v>83.981558660593294</v>
      </c>
      <c r="AT37" s="10">
        <f t="shared" si="17"/>
        <v>119.82445404802543</v>
      </c>
    </row>
    <row r="38" spans="25:46" x14ac:dyDescent="0.35">
      <c r="Y38" s="10">
        <v>36</v>
      </c>
      <c r="Z38" s="10">
        <f t="shared" si="7"/>
        <v>12.022644346174127</v>
      </c>
      <c r="AA38" s="10" t="str">
        <f t="shared" si="8"/>
        <v>75,540502309327i</v>
      </c>
      <c r="AC38" s="10">
        <f>1/(2*$T$3+$T$6*$T$2/('4. Boost Inductor'!$B$11*$T$3^2)*($T$5))</f>
        <v>0.32865720058048542</v>
      </c>
      <c r="AD38" s="10" t="str">
        <f t="shared" si="0"/>
        <v>0,98817384640307-0,107829683999612i</v>
      </c>
      <c r="AE38" s="10" t="str">
        <f t="shared" si="1"/>
        <v>0,999999985369402-0,000168482025129303i</v>
      </c>
      <c r="AF38" s="10" t="str">
        <f t="shared" si="9"/>
        <v>71,4481843810368-7,80861830043304i</v>
      </c>
      <c r="AG38" s="10">
        <f t="shared" si="10"/>
        <v>71.873622220592779</v>
      </c>
      <c r="AH38" s="10">
        <f t="shared" si="2"/>
        <v>-0.108858600440636</v>
      </c>
      <c r="AI38" s="10">
        <f t="shared" si="3"/>
        <v>-6.237138368949406</v>
      </c>
      <c r="AJ38" s="10">
        <f t="shared" si="4"/>
        <v>37.131390651629161</v>
      </c>
      <c r="AL38" s="10" t="str">
        <f t="shared" si="5"/>
        <v>0,302372967903775-0,446017588269799i</v>
      </c>
      <c r="AM38" s="10" t="str">
        <f t="shared" si="6"/>
        <v>0,999985163136285-0,00383307669806886i</v>
      </c>
      <c r="AN38" s="10" t="str">
        <f t="shared" si="11"/>
        <v>-116,934450139208+173,916632611975i</v>
      </c>
      <c r="AO38" s="10">
        <f t="shared" si="12"/>
        <v>209.57256673631593</v>
      </c>
      <c r="AP38" s="10">
        <f t="shared" si="13"/>
        <v>2.1627295761987533</v>
      </c>
      <c r="AQ38" s="10">
        <f t="shared" si="14"/>
        <v>123.91527694430575</v>
      </c>
      <c r="AR38" s="10">
        <f t="shared" si="15"/>
        <v>46.426688648792023</v>
      </c>
      <c r="AS38" s="10">
        <f t="shared" si="16"/>
        <v>83.558079300421184</v>
      </c>
      <c r="AT38" s="10">
        <f t="shared" si="17"/>
        <v>117.67813857535634</v>
      </c>
    </row>
    <row r="39" spans="25:46" x14ac:dyDescent="0.35">
      <c r="Y39" s="10">
        <v>37</v>
      </c>
      <c r="Z39" s="10">
        <f t="shared" si="7"/>
        <v>12.882495516931341</v>
      </c>
      <c r="AA39" s="10" t="str">
        <f t="shared" si="8"/>
        <v>80,9431065517899i</v>
      </c>
      <c r="AC39" s="10">
        <f>1/(2*$T$3+$T$6*$T$2/('4. Boost Inductor'!$B$11*$T$3^2)*($T$5))</f>
        <v>0.32865720058048542</v>
      </c>
      <c r="AD39" s="10" t="str">
        <f t="shared" si="0"/>
        <v>0,986445626552497-0,11533849077292i</v>
      </c>
      <c r="AE39" s="10" t="str">
        <f t="shared" si="1"/>
        <v>0,999999983201826-0,00018053174231176i</v>
      </c>
      <c r="AF39" s="10" t="str">
        <f t="shared" si="9"/>
        <v>71,3230340495959-8,35237781278378i</v>
      </c>
      <c r="AG39" s="10">
        <f t="shared" si="10"/>
        <v>71.810426827636249</v>
      </c>
      <c r="AH39" s="10">
        <f t="shared" si="2"/>
        <v>-0.11657535116069859</v>
      </c>
      <c r="AI39" s="10">
        <f t="shared" si="3"/>
        <v>-6.6792756167635314</v>
      </c>
      <c r="AJ39" s="10">
        <f t="shared" si="4"/>
        <v>37.123750161986997</v>
      </c>
      <c r="AL39" s="10" t="str">
        <f t="shared" si="5"/>
        <v>0,275237874756593-0,432438322799075i</v>
      </c>
      <c r="AM39" s="10" t="str">
        <f t="shared" si="6"/>
        <v>0,999982965039006-0,00410720656365653i</v>
      </c>
      <c r="AN39" s="10" t="str">
        <f t="shared" si="11"/>
        <v>-106,354930647518+168,623885985885i</v>
      </c>
      <c r="AO39" s="10">
        <f t="shared" si="12"/>
        <v>199.36244931786706</v>
      </c>
      <c r="AP39" s="10">
        <f t="shared" si="13"/>
        <v>2.133500338286892</v>
      </c>
      <c r="AQ39" s="10">
        <f t="shared" si="14"/>
        <v>122.2405649735723</v>
      </c>
      <c r="AR39" s="10">
        <f t="shared" si="15"/>
        <v>45.992867212934208</v>
      </c>
      <c r="AS39" s="10">
        <f t="shared" si="16"/>
        <v>83.116617374921205</v>
      </c>
      <c r="AT39" s="10">
        <f t="shared" si="17"/>
        <v>115.56128935680877</v>
      </c>
    </row>
    <row r="40" spans="25:46" x14ac:dyDescent="0.35">
      <c r="Y40" s="10">
        <v>38</v>
      </c>
      <c r="Z40" s="10">
        <f t="shared" si="7"/>
        <v>13.803842646028851</v>
      </c>
      <c r="AA40" s="10" t="str">
        <f t="shared" si="8"/>
        <v>86,7321012961475i</v>
      </c>
      <c r="AC40" s="10">
        <f>1/(2*$T$3+$T$6*$T$2/('4. Boost Inductor'!$B$11*$T$3^2)*($T$5))</f>
        <v>0.32865720058048542</v>
      </c>
      <c r="AD40" s="10" t="str">
        <f t="shared" si="0"/>
        <v>0,984468842140118-0,123338496807253i</v>
      </c>
      <c r="AE40" s="10" t="str">
        <f t="shared" si="1"/>
        <v>0,999999980713116-0,000193443246849404i</v>
      </c>
      <c r="AF40" s="10" t="str">
        <f t="shared" si="9"/>
        <v>71,1798837297339-8,93170814838214i</v>
      </c>
      <c r="AG40" s="10">
        <f t="shared" si="10"/>
        <v>71.73807397906856</v>
      </c>
      <c r="AH40" s="10">
        <f t="shared" si="2"/>
        <v>-0.1248283611954486</v>
      </c>
      <c r="AI40" s="10">
        <f t="shared" si="3"/>
        <v>-7.1521382600338246</v>
      </c>
      <c r="AJ40" s="10">
        <f t="shared" si="4"/>
        <v>37.114994251512897</v>
      </c>
      <c r="AL40" s="10" t="str">
        <f t="shared" si="5"/>
        <v>0,249823982028319-0,417726339899762i</v>
      </c>
      <c r="AM40" s="10" t="str">
        <f t="shared" si="6"/>
        <v>0,999980441297689-0,00440093990751951i</v>
      </c>
      <c r="AN40" s="10" t="str">
        <f t="shared" si="11"/>
        <v>-96,4464757709097+162,889624973295i</v>
      </c>
      <c r="AO40" s="10">
        <f t="shared" si="12"/>
        <v>189.30122189930356</v>
      </c>
      <c r="AP40" s="10">
        <f t="shared" si="13"/>
        <v>2.1053846115395292</v>
      </c>
      <c r="AQ40" s="10">
        <f t="shared" si="14"/>
        <v>120.62965249300534</v>
      </c>
      <c r="AR40" s="10">
        <f t="shared" si="15"/>
        <v>45.543068345035287</v>
      </c>
      <c r="AS40" s="10">
        <f t="shared" si="16"/>
        <v>82.658062596548177</v>
      </c>
      <c r="AT40" s="10">
        <f t="shared" si="17"/>
        <v>113.47751423297152</v>
      </c>
    </row>
    <row r="41" spans="25:46" x14ac:dyDescent="0.35">
      <c r="Y41" s="10">
        <v>39</v>
      </c>
      <c r="Z41" s="10">
        <f t="shared" si="7"/>
        <v>14.791083881682074</v>
      </c>
      <c r="AA41" s="10" t="str">
        <f t="shared" si="8"/>
        <v>92,9351209226456i</v>
      </c>
      <c r="AC41" s="10">
        <f>1/(2*$T$3+$T$6*$T$2/('4. Boost Inductor'!$B$11*$T$3^2)*($T$5))</f>
        <v>0.32865720058048542</v>
      </c>
      <c r="AD41" s="10" t="str">
        <f t="shared" si="0"/>
        <v>0,982208987377631-0,13185466054819i</v>
      </c>
      <c r="AE41" s="10" t="str">
        <f t="shared" si="1"/>
        <v>0,999999977855694-0,000207278173164546i</v>
      </c>
      <c r="AF41" s="10" t="str">
        <f t="shared" si="9"/>
        <v>71,0162346590141-9,54841671043889i</v>
      </c>
      <c r="AG41" s="10">
        <f t="shared" si="10"/>
        <v>71.65527089349635</v>
      </c>
      <c r="AH41" s="10">
        <f t="shared" si="2"/>
        <v>-0.13365246048090199</v>
      </c>
      <c r="AI41" s="10">
        <f t="shared" si="3"/>
        <v>-7.6577219070947091</v>
      </c>
      <c r="AJ41" s="10">
        <f t="shared" si="4"/>
        <v>37.104962843938821</v>
      </c>
      <c r="AL41" s="10" t="str">
        <f t="shared" si="5"/>
        <v>0,226191507729358-0,402126020547238i</v>
      </c>
      <c r="AM41" s="10" t="str">
        <f t="shared" si="6"/>
        <v>0,99997754367082-0,00471567827343318i</v>
      </c>
      <c r="AN41" s="10" t="str">
        <f t="shared" si="11"/>
        <v>-87,2325632002704+156,809137576602i</v>
      </c>
      <c r="AO41" s="10">
        <f t="shared" si="12"/>
        <v>179.43975509904951</v>
      </c>
      <c r="AP41" s="10">
        <f t="shared" si="13"/>
        <v>2.0784617659411699</v>
      </c>
      <c r="AQ41" s="10">
        <f t="shared" si="14"/>
        <v>119.08708706773699</v>
      </c>
      <c r="AR41" s="10">
        <f t="shared" si="15"/>
        <v>45.078373356927997</v>
      </c>
      <c r="AS41" s="10">
        <f t="shared" si="16"/>
        <v>82.183336200866819</v>
      </c>
      <c r="AT41" s="10">
        <f t="shared" si="17"/>
        <v>111.42936516064228</v>
      </c>
    </row>
    <row r="42" spans="25:46" x14ac:dyDescent="0.35">
      <c r="Y42" s="10">
        <v>40</v>
      </c>
      <c r="Z42" s="10">
        <f t="shared" si="7"/>
        <v>15.848931924611136</v>
      </c>
      <c r="AA42" s="10" t="str">
        <f t="shared" si="8"/>
        <v>99,5817762032062i</v>
      </c>
      <c r="AC42" s="10">
        <f>1/(2*$T$3+$T$6*$T$2/('4. Boost Inductor'!$B$11*$T$3^2)*($T$5))</f>
        <v>0.32865720058048542</v>
      </c>
      <c r="AD42" s="10" t="str">
        <f t="shared" si="0"/>
        <v>0,979627152733934-0,140911535221021i</v>
      </c>
      <c r="AE42" s="10" t="str">
        <f t="shared" si="1"/>
        <v>0,999999974574936-0,000222102563728121i</v>
      </c>
      <c r="AF42" s="10" t="str">
        <f t="shared" si="9"/>
        <v>70,8292691746751-10,2042815591753i</v>
      </c>
      <c r="AG42" s="10">
        <f t="shared" si="10"/>
        <v>71.560552918193025</v>
      </c>
      <c r="AH42" s="10">
        <f t="shared" si="2"/>
        <v>-0.14308419013052526</v>
      </c>
      <c r="AI42" s="10">
        <f t="shared" si="3"/>
        <v>-8.1981202095265253</v>
      </c>
      <c r="AJ42" s="10">
        <f t="shared" si="4"/>
        <v>37.093473750369668</v>
      </c>
      <c r="AL42" s="10" t="str">
        <f t="shared" si="5"/>
        <v>0,204361090742724-0,385873272131858i</v>
      </c>
      <c r="AM42" s="10" t="str">
        <f t="shared" si="6"/>
        <v>0,999974216770949-0,00505292333131378i</v>
      </c>
      <c r="AN42" s="10" t="str">
        <f t="shared" si="11"/>
        <v>-78,721239363291+150,474408668467i</v>
      </c>
      <c r="AO42" s="10">
        <f t="shared" si="12"/>
        <v>169.82220464655785</v>
      </c>
      <c r="AP42" s="10">
        <f t="shared" si="13"/>
        <v>2.0527948374239715</v>
      </c>
      <c r="AQ42" s="10">
        <f t="shared" si="14"/>
        <v>117.61648039063755</v>
      </c>
      <c r="AR42" s="10">
        <f t="shared" si="15"/>
        <v>44.599889492599154</v>
      </c>
      <c r="AS42" s="10">
        <f t="shared" si="16"/>
        <v>81.693363242968815</v>
      </c>
      <c r="AT42" s="10">
        <f t="shared" si="17"/>
        <v>109.41836018111103</v>
      </c>
    </row>
    <row r="43" spans="25:46" x14ac:dyDescent="0.35">
      <c r="Y43" s="10">
        <v>41</v>
      </c>
      <c r="Z43" s="10">
        <f t="shared" si="7"/>
        <v>16.982436524617441</v>
      </c>
      <c r="AA43" s="10" t="str">
        <f t="shared" si="8"/>
        <v>106,703795651586i</v>
      </c>
      <c r="AC43" s="10">
        <f>1/(2*$T$3+$T$6*$T$2/('4. Boost Inductor'!$B$11*$T$3^2)*($T$5))</f>
        <v>0.32865720058048542</v>
      </c>
      <c r="AD43" s="10" t="str">
        <f t="shared" si="0"/>
        <v>0,976679583158363-0,150532795265479i</v>
      </c>
      <c r="AE43" s="10" t="str">
        <f t="shared" si="1"/>
        <v>0,99999997080812-0,000237987184319695i</v>
      </c>
      <c r="AF43" s="10" t="str">
        <f t="shared" si="9"/>
        <v>70,6158187220359-10,9010171183367i</v>
      </c>
      <c r="AG43" s="10">
        <f t="shared" si="10"/>
        <v>71.452263980910388</v>
      </c>
      <c r="AH43" s="10">
        <f t="shared" si="2"/>
        <v>-0.15316175776099575</v>
      </c>
      <c r="AI43" s="10">
        <f t="shared" si="3"/>
        <v>-8.7755223025101365</v>
      </c>
      <c r="AJ43" s="10">
        <f t="shared" si="4"/>
        <v>37.080319881249181</v>
      </c>
      <c r="AL43" s="10" t="str">
        <f t="shared" si="5"/>
        <v>0,184318722670174-0,36918936181073i</v>
      </c>
      <c r="AM43" s="10" t="str">
        <f t="shared" si="6"/>
        <v>0,999970397006381-0,00541428401254621i</v>
      </c>
      <c r="AN43" s="10" t="str">
        <f t="shared" si="11"/>
        <v>-70,9070422604992+143,971715762589i</v>
      </c>
      <c r="AO43" s="10">
        <f t="shared" si="12"/>
        <v>160.48571145667748</v>
      </c>
      <c r="AP43" s="10">
        <f t="shared" si="13"/>
        <v>2.0284313890689463</v>
      </c>
      <c r="AQ43" s="10">
        <f t="shared" si="14"/>
        <v>116.22055762550966</v>
      </c>
      <c r="AR43" s="10">
        <f t="shared" si="15"/>
        <v>44.108727437402763</v>
      </c>
      <c r="AS43" s="10">
        <f t="shared" si="16"/>
        <v>81.189047318651944</v>
      </c>
      <c r="AT43" s="10">
        <f t="shared" si="17"/>
        <v>107.44503532299952</v>
      </c>
    </row>
    <row r="44" spans="25:46" x14ac:dyDescent="0.35">
      <c r="Y44" s="10">
        <v>42</v>
      </c>
      <c r="Z44" s="10">
        <f t="shared" si="7"/>
        <v>18.197008586099834</v>
      </c>
      <c r="AA44" s="10" t="str">
        <f t="shared" si="8"/>
        <v>114,335176982803i</v>
      </c>
      <c r="AC44" s="10">
        <f>1/(2*$T$3+$T$6*$T$2/('4. Boost Inductor'!$B$11*$T$3^2)*($T$5))</f>
        <v>0.32865720058048542</v>
      </c>
      <c r="AD44" s="10" t="str">
        <f t="shared" si="0"/>
        <v>0,973317230693369-0,160740649422942i</v>
      </c>
      <c r="AE44" s="10" t="str">
        <f t="shared" si="1"/>
        <v>0,999999966483237-0,000255007861834536i</v>
      </c>
      <c r="AF44" s="10" t="str">
        <f t="shared" si="9"/>
        <v>70,3723314566093-11,6402316735662i</v>
      </c>
      <c r="AG44" s="10">
        <f t="shared" si="10"/>
        <v>71.328535860854288</v>
      </c>
      <c r="AH44" s="10">
        <f t="shared" si="2"/>
        <v>-0.16392495605667379</v>
      </c>
      <c r="AI44" s="10">
        <f t="shared" si="3"/>
        <v>-9.3922081389148904</v>
      </c>
      <c r="AJ44" s="10">
        <f t="shared" si="4"/>
        <v>37.065266189630599</v>
      </c>
      <c r="AL44" s="10" t="str">
        <f t="shared" si="5"/>
        <v>0,166021383626921-0,352276440706447i</v>
      </c>
      <c r="AM44" s="10" t="str">
        <f t="shared" si="6"/>
        <v>0,999966011366198-0,00580148414972661i</v>
      </c>
      <c r="AN44" s="10" t="str">
        <f t="shared" si="11"/>
        <v>-63,7731987578574+137,379884019564i</v>
      </c>
      <c r="AO44" s="10">
        <f t="shared" si="12"/>
        <v>151.46040212886683</v>
      </c>
      <c r="AP44" s="10">
        <f t="shared" si="13"/>
        <v>2.0054047484683641</v>
      </c>
      <c r="AQ44" s="10">
        <f t="shared" si="14"/>
        <v>114.9012283027317</v>
      </c>
      <c r="AR44" s="10">
        <f t="shared" si="15"/>
        <v>43.605982110925453</v>
      </c>
      <c r="AS44" s="10">
        <f t="shared" si="16"/>
        <v>80.671248300556044</v>
      </c>
      <c r="AT44" s="10">
        <f t="shared" si="17"/>
        <v>105.5090201638168</v>
      </c>
    </row>
    <row r="45" spans="25:46" x14ac:dyDescent="0.35">
      <c r="Y45" s="10">
        <v>43</v>
      </c>
      <c r="Z45" s="10">
        <f t="shared" si="7"/>
        <v>19.498445997580447</v>
      </c>
      <c r="AA45" s="10" t="str">
        <f t="shared" si="8"/>
        <v>122,512349404832i</v>
      </c>
      <c r="AC45" s="10">
        <f>1/(2*$T$3+$T$6*$T$2/('4. Boost Inductor'!$B$11*$T$3^2)*($T$5))</f>
        <v>0.32865720058048542</v>
      </c>
      <c r="AD45" s="10" t="str">
        <f t="shared" si="0"/>
        <v>0,96948531627261-0,171555122486542i</v>
      </c>
      <c r="AE45" s="10" t="str">
        <f t="shared" si="1"/>
        <v>0,999999961517607-0,000273245846250234i</v>
      </c>
      <c r="AF45" s="10" t="str">
        <f t="shared" si="9"/>
        <v>70,0948405113825-12,4233753599135i</v>
      </c>
      <c r="AG45" s="10">
        <f t="shared" si="10"/>
        <v>71.187266569587109</v>
      </c>
      <c r="AH45" s="10">
        <f t="shared" si="2"/>
        <v>-0.17541503608158412</v>
      </c>
      <c r="AI45" s="10">
        <f t="shared" si="3"/>
        <v>-10.050541230609824</v>
      </c>
      <c r="AJ45" s="10">
        <f t="shared" si="4"/>
        <v>37.048046346579341</v>
      </c>
      <c r="AL45" s="10" t="str">
        <f t="shared" si="5"/>
        <v>0,149402902116869-0,335314690756703i</v>
      </c>
      <c r="AM45" s="10" t="str">
        <f t="shared" si="6"/>
        <v>0,999960976025446-0,00621637065553717i</v>
      </c>
      <c r="AN45" s="10" t="str">
        <f t="shared" si="11"/>
        <v>-57,2939092434736+130,769173899556i</v>
      </c>
      <c r="AO45" s="10">
        <f t="shared" si="12"/>
        <v>142.7696357030153</v>
      </c>
      <c r="AP45" s="10">
        <f t="shared" si="13"/>
        <v>1.983735504027377</v>
      </c>
      <c r="AQ45" s="10">
        <f t="shared" si="14"/>
        <v>113.65967205102582</v>
      </c>
      <c r="AR45" s="10">
        <f t="shared" si="15"/>
        <v>43.09271702711672</v>
      </c>
      <c r="AS45" s="10">
        <f t="shared" si="16"/>
        <v>80.140763373696061</v>
      </c>
      <c r="AT45" s="10">
        <f t="shared" si="17"/>
        <v>103.609130820416</v>
      </c>
    </row>
    <row r="46" spans="25:46" x14ac:dyDescent="0.35">
      <c r="Y46" s="10">
        <v>44</v>
      </c>
      <c r="Z46" s="10">
        <f t="shared" si="7"/>
        <v>20.892961308540382</v>
      </c>
      <c r="AA46" s="10" t="str">
        <f t="shared" si="8"/>
        <v>131,274347517293i</v>
      </c>
      <c r="AC46" s="10">
        <f>1/(2*$T$3+$T$6*$T$2/('4. Boost Inductor'!$B$11*$T$3^2)*($T$5))</f>
        <v>0.32865720058048542</v>
      </c>
      <c r="AD46" s="10" t="str">
        <f t="shared" si="0"/>
        <v>0,96512292110452-0,182993187050174i</v>
      </c>
      <c r="AE46" s="10" t="str">
        <f t="shared" si="1"/>
        <v>0,999999955816302-0,000292788198480741i</v>
      </c>
      <c r="AF46" s="10" t="str">
        <f t="shared" si="9"/>
        <v>69,7789344065529-13,2516772869083i</v>
      </c>
      <c r="AG46" s="10">
        <f t="shared" si="10"/>
        <v>71.026098286688764</v>
      </c>
      <c r="AH46" s="10">
        <f t="shared" si="2"/>
        <v>-0.18767452557073738</v>
      </c>
      <c r="AI46" s="10">
        <f t="shared" si="3"/>
        <v>-10.7529582373233</v>
      </c>
      <c r="AJ46" s="10">
        <f t="shared" si="4"/>
        <v>37.028359160088314</v>
      </c>
      <c r="AL46" s="10" t="str">
        <f t="shared" si="5"/>
        <v>0,134379652632904-0,318460916712219i</v>
      </c>
      <c r="AM46" s="10" t="str">
        <f t="shared" si="6"/>
        <v>0,999955194743876-0,00666092227764203i</v>
      </c>
      <c r="AN46" s="10" t="str">
        <f t="shared" si="11"/>
        <v>-51,436569014911+124,200732256799i</v>
      </c>
      <c r="AO46" s="10">
        <f t="shared" si="12"/>
        <v>134.43043749519964</v>
      </c>
      <c r="AP46" s="10">
        <f t="shared" si="13"/>
        <v>1.9634331518576222</v>
      </c>
      <c r="AQ46" s="10">
        <f t="shared" si="14"/>
        <v>112.49643295751059</v>
      </c>
      <c r="AR46" s="10">
        <f t="shared" si="15"/>
        <v>42.569952240368451</v>
      </c>
      <c r="AS46" s="10">
        <f t="shared" si="16"/>
        <v>79.598311400456765</v>
      </c>
      <c r="AT46" s="10">
        <f t="shared" si="17"/>
        <v>101.74347472018729</v>
      </c>
    </row>
    <row r="47" spans="25:46" x14ac:dyDescent="0.35">
      <c r="Y47" s="10">
        <v>45</v>
      </c>
      <c r="Z47" s="10">
        <f t="shared" si="7"/>
        <v>22.387211385683386</v>
      </c>
      <c r="AA47" s="10" t="str">
        <f t="shared" si="8"/>
        <v>140,662997647249i</v>
      </c>
      <c r="AC47" s="10">
        <f>1/(2*$T$3+$T$6*$T$2/('4. Boost Inductor'!$B$11*$T$3^2)*($T$5))</f>
        <v>0.32865720058048542</v>
      </c>
      <c r="AD47" s="10" t="str">
        <f t="shared" si="0"/>
        <v>0,960162634889455-0,195067726880542i</v>
      </c>
      <c r="AE47" s="10" t="str">
        <f t="shared" si="1"/>
        <v>0,999999949270327-0,000313728205969202i</v>
      </c>
      <c r="AF47" s="10" t="str">
        <f t="shared" si="9"/>
        <v>69,4197315749095-14,1260704704997i</v>
      </c>
      <c r="AG47" s="10">
        <f t="shared" si="10"/>
        <v>70.842395490765341</v>
      </c>
      <c r="AH47" s="10">
        <f t="shared" si="2"/>
        <v>-0.20074698113977391</v>
      </c>
      <c r="AI47" s="10">
        <f t="shared" si="3"/>
        <v>-11.501954769301381</v>
      </c>
      <c r="AJ47" s="10">
        <f t="shared" si="4"/>
        <v>37.005864763187191</v>
      </c>
      <c r="AL47" s="10" t="str">
        <f t="shared" si="5"/>
        <v>0,120855810488058-0,301848341897141i</v>
      </c>
      <c r="AM47" s="10" t="str">
        <f t="shared" si="6"/>
        <v>0,999948557027751-0,00713725896874591i</v>
      </c>
      <c r="AN47" s="10" t="str">
        <f t="shared" si="11"/>
        <v>-46,1638170370568+117,726512763939i</v>
      </c>
      <c r="AO47" s="10">
        <f t="shared" si="12"/>
        <v>126.45406205808</v>
      </c>
      <c r="AP47" s="10">
        <f t="shared" si="13"/>
        <v>1.9444977998479922</v>
      </c>
      <c r="AQ47" s="10">
        <f t="shared" si="14"/>
        <v>111.41151720376423</v>
      </c>
      <c r="AR47" s="10">
        <f t="shared" si="15"/>
        <v>42.038655693153686</v>
      </c>
      <c r="AS47" s="10">
        <f t="shared" si="16"/>
        <v>79.044520456340877</v>
      </c>
      <c r="AT47" s="10">
        <f t="shared" si="17"/>
        <v>99.909562434462856</v>
      </c>
    </row>
    <row r="48" spans="25:46" x14ac:dyDescent="0.35">
      <c r="Y48" s="10">
        <v>46</v>
      </c>
      <c r="Z48" s="10">
        <f t="shared" si="7"/>
        <v>23.988329190194897</v>
      </c>
      <c r="AA48" s="10" t="str">
        <f t="shared" si="8"/>
        <v>150,72311751162i</v>
      </c>
      <c r="AC48" s="10">
        <f>1/(2*$T$3+$T$6*$T$2/('4. Boost Inductor'!$B$11*$T$3^2)*($T$5))</f>
        <v>0.32865720058048542</v>
      </c>
      <c r="AD48" s="10" t="str">
        <f t="shared" si="0"/>
        <v>0,954530296265363-0,207786315281131i</v>
      </c>
      <c r="AE48" s="10" t="str">
        <f t="shared" si="1"/>
        <v>0,999999941754543-0,000336165828003444i</v>
      </c>
      <c r="AF48" s="10" t="str">
        <f t="shared" si="9"/>
        <v>69,0118615660119-15,0471033675066i</v>
      </c>
      <c r="AG48" s="10">
        <f t="shared" si="10"/>
        <v>70.633224169358286</v>
      </c>
      <c r="AH48" s="10">
        <f t="shared" si="2"/>
        <v>-0.21467666212635442</v>
      </c>
      <c r="AI48" s="10">
        <f t="shared" si="3"/>
        <v>-12.300066699796073</v>
      </c>
      <c r="AJ48" s="10">
        <f t="shared" si="4"/>
        <v>36.980180615750356</v>
      </c>
      <c r="AL48" s="10" t="str">
        <f t="shared" si="5"/>
        <v>0,108727985915221-0,285587341956804i</v>
      </c>
      <c r="AM48" s="10" t="str">
        <f t="shared" si="6"/>
        <v>0,999940936019683-0,00764765191328567i</v>
      </c>
      <c r="AN48" s="10" t="str">
        <f t="shared" si="11"/>
        <v>-41,435342685894+111,389562045328i</v>
      </c>
      <c r="AO48" s="10">
        <f t="shared" si="12"/>
        <v>118.84663291884819</v>
      </c>
      <c r="AP48" s="10">
        <f t="shared" si="13"/>
        <v>1.9269218534726209</v>
      </c>
      <c r="AQ48" s="10">
        <f t="shared" si="14"/>
        <v>110.40448965550722</v>
      </c>
      <c r="AR48" s="10">
        <f t="shared" si="15"/>
        <v>41.499737642112137</v>
      </c>
      <c r="AS48" s="10">
        <f t="shared" si="16"/>
        <v>78.479918257862494</v>
      </c>
      <c r="AT48" s="10">
        <f t="shared" si="17"/>
        <v>98.104422955711144</v>
      </c>
    </row>
    <row r="49" spans="25:46" x14ac:dyDescent="0.35">
      <c r="Y49" s="10">
        <v>47</v>
      </c>
      <c r="Z49" s="10">
        <f t="shared" si="7"/>
        <v>25.703957827688622</v>
      </c>
      <c r="AA49" s="10" t="str">
        <f t="shared" si="8"/>
        <v>161,502730159297i</v>
      </c>
      <c r="AC49" s="10">
        <f>1/(2*$T$3+$T$6*$T$2/('4. Boost Inductor'!$B$11*$T$3^2)*($T$5))</f>
        <v>0.32865720058048542</v>
      </c>
      <c r="AD49" s="10" t="str">
        <f t="shared" si="0"/>
        <v>0,948144870261579-0,221149795645156i</v>
      </c>
      <c r="AE49" s="10" t="str">
        <f t="shared" si="1"/>
        <v>0,999999933125267-0,00036020817287968i</v>
      </c>
      <c r="AF49" s="10" t="str">
        <f t="shared" si="9"/>
        <v>68,5494561719141-16,0148370854448i</v>
      </c>
      <c r="AG49" s="10">
        <f t="shared" si="10"/>
        <v>70.395333285229285</v>
      </c>
      <c r="AH49" s="10">
        <f t="shared" si="2"/>
        <v>-0.22950811274052041</v>
      </c>
      <c r="AI49" s="10">
        <f t="shared" si="3"/>
        <v>-13.149846224044499</v>
      </c>
      <c r="AJ49" s="10">
        <f t="shared" si="4"/>
        <v>36.950877388623212</v>
      </c>
      <c r="AL49" s="10" t="str">
        <f t="shared" si="5"/>
        <v>0,0978891484646713-0,269766856610817i</v>
      </c>
      <c r="AM49" s="10" t="str">
        <f t="shared" si="6"/>
        <v>0,99993218607633-0,00819453425460749i</v>
      </c>
      <c r="AN49" s="10" t="str">
        <f t="shared" si="11"/>
        <v>-37,209415789784+105,224570156974i</v>
      </c>
      <c r="AO49" s="10">
        <f t="shared" si="12"/>
        <v>111.60981492743802</v>
      </c>
      <c r="AP49" s="10">
        <f t="shared" si="13"/>
        <v>1.9106916264507348</v>
      </c>
      <c r="AQ49" s="10">
        <f t="shared" si="14"/>
        <v>109.47456614661395</v>
      </c>
      <c r="AR49" s="10">
        <f t="shared" si="15"/>
        <v>40.954047759665016</v>
      </c>
      <c r="AS49" s="10">
        <f t="shared" si="16"/>
        <v>77.904925148288228</v>
      </c>
      <c r="AT49" s="10">
        <f t="shared" si="17"/>
        <v>96.324719922569457</v>
      </c>
    </row>
    <row r="50" spans="25:46" x14ac:dyDescent="0.35">
      <c r="Y50" s="10">
        <v>48</v>
      </c>
      <c r="Z50" s="10">
        <f t="shared" si="7"/>
        <v>27.542287033381651</v>
      </c>
      <c r="AA50" s="10" t="str">
        <f t="shared" si="8"/>
        <v>173,053293214266i</v>
      </c>
      <c r="AC50" s="10">
        <f>1/(2*$T$3+$T$6*$T$2/('4. Boost Inductor'!$B$11*$T$3^2)*($T$5))</f>
        <v>0.32865720058048542</v>
      </c>
      <c r="AD50" s="10" t="str">
        <f t="shared" si="0"/>
        <v>0,940918517915912-0,235150658067185i</v>
      </c>
      <c r="AE50" s="10" t="str">
        <f t="shared" si="1"/>
        <v>0,999999923217534-0,000385970009192267i</v>
      </c>
      <c r="AF50" s="10" t="str">
        <f t="shared" si="9"/>
        <v>68,0261544685379-17,028727823801i</v>
      </c>
      <c r="AG50" s="10">
        <f t="shared" si="10"/>
        <v>70.12514002178159</v>
      </c>
      <c r="AH50" s="10">
        <f t="shared" si="2"/>
        <v>-0.24528563852488985</v>
      </c>
      <c r="AI50" s="10">
        <f t="shared" si="3"/>
        <v>-14.053831862647701</v>
      </c>
      <c r="AJ50" s="10">
        <f t="shared" si="4"/>
        <v>36.917474828778502</v>
      </c>
      <c r="AL50" s="10" t="str">
        <f t="shared" si="5"/>
        <v>0,0882318230999476-0,254456245322097i</v>
      </c>
      <c r="AM50" s="10" t="str">
        <f t="shared" si="6"/>
        <v>0,999922139987876-0,00878051256890699i</v>
      </c>
      <c r="AN50" s="10" t="str">
        <f t="shared" si="11"/>
        <v>-33,4441327163808+99,2585941459871i</v>
      </c>
      <c r="AO50" s="10">
        <f t="shared" si="12"/>
        <v>104.74148426000407</v>
      </c>
      <c r="AP50" s="10">
        <f t="shared" si="13"/>
        <v>1.8957888367383851</v>
      </c>
      <c r="AQ50" s="10">
        <f t="shared" si="14"/>
        <v>108.62069919312533</v>
      </c>
      <c r="AR50" s="10">
        <f t="shared" si="15"/>
        <v>40.402374477305557</v>
      </c>
      <c r="AS50" s="10">
        <f t="shared" si="16"/>
        <v>77.319849306084052</v>
      </c>
      <c r="AT50" s="10">
        <f t="shared" si="17"/>
        <v>94.566867330477635</v>
      </c>
    </row>
    <row r="51" spans="25:46" x14ac:dyDescent="0.35">
      <c r="Y51" s="10">
        <v>49</v>
      </c>
      <c r="Z51" s="10">
        <f t="shared" si="7"/>
        <v>29.512092266663849</v>
      </c>
      <c r="AA51" s="10" t="str">
        <f t="shared" si="8"/>
        <v>185,429944514031i</v>
      </c>
      <c r="AC51" s="10">
        <f>1/(2*$T$3+$T$6*$T$2/('4. Boost Inductor'!$B$11*$T$3^2)*($T$5))</f>
        <v>0.32865720058048542</v>
      </c>
      <c r="AD51" s="10" t="str">
        <f t="shared" si="0"/>
        <v>0,932756924054528-0,249771216271508i</v>
      </c>
      <c r="AE51" s="10" t="str">
        <f t="shared" si="1"/>
        <v>0,999999911841935-0,000413574313689938i</v>
      </c>
      <c r="AF51" s="10" t="str">
        <f t="shared" si="9"/>
        <v>67,4351265520958-18,0874948551062i</v>
      </c>
      <c r="AG51" s="10">
        <f t="shared" si="10"/>
        <v>69.81872072181406</v>
      </c>
      <c r="AH51" s="10">
        <f t="shared" si="2"/>
        <v>-0.26205266303597552</v>
      </c>
      <c r="AI51" s="10">
        <f t="shared" si="3"/>
        <v>-15.014511602125312</v>
      </c>
      <c r="AJ51" s="10">
        <f t="shared" si="4"/>
        <v>36.879437740738538</v>
      </c>
      <c r="AL51" s="10" t="str">
        <f t="shared" si="5"/>
        <v>0,0796505900912287-0,239707389694327i</v>
      </c>
      <c r="AM51" s="10" t="str">
        <f t="shared" si="6"/>
        <v>0,999910605786412-0,00940837913463809i</v>
      </c>
      <c r="AN51" s="10" t="str">
        <f t="shared" si="11"/>
        <v>-30,0983910197853+93,5118778097736i</v>
      </c>
      <c r="AO51" s="10">
        <f t="shared" si="12"/>
        <v>98.236370217399227</v>
      </c>
      <c r="AP51" s="10">
        <f t="shared" si="13"/>
        <v>1.8821919634208975</v>
      </c>
      <c r="AQ51" s="10">
        <f t="shared" si="14"/>
        <v>107.84165573745925</v>
      </c>
      <c r="AR51" s="10">
        <f t="shared" si="15"/>
        <v>39.845446142782819</v>
      </c>
      <c r="AS51" s="10">
        <f t="shared" si="16"/>
        <v>76.724883883521358</v>
      </c>
      <c r="AT51" s="10">
        <f t="shared" si="17"/>
        <v>92.827144135333938</v>
      </c>
    </row>
    <row r="52" spans="25:46" x14ac:dyDescent="0.35">
      <c r="Y52" s="10">
        <v>50</v>
      </c>
      <c r="Z52" s="10">
        <f t="shared" si="7"/>
        <v>31.622776601683789</v>
      </c>
      <c r="AA52" s="10" t="str">
        <f t="shared" si="8"/>
        <v>198,691765315922i</v>
      </c>
      <c r="AC52" s="10">
        <f>1/(2*$T$3+$T$6*$T$2/('4. Boost Inductor'!$B$11*$T$3^2)*($T$5))</f>
        <v>0.32865720058048542</v>
      </c>
      <c r="AD52" s="10" t="str">
        <f t="shared" si="0"/>
        <v>0,923559959642382-0,264981604141018i</v>
      </c>
      <c r="AE52" s="10" t="str">
        <f t="shared" si="1"/>
        <v>0,999999898780998-0,000443152858313667i</v>
      </c>
      <c r="AF52" s="10" t="str">
        <f t="shared" si="9"/>
        <v>66,7691215036918-19,1889754422573i</v>
      </c>
      <c r="AG52" s="10">
        <f t="shared" si="10"/>
        <v>69.471809857656027</v>
      </c>
      <c r="AH52" s="10">
        <f t="shared" si="2"/>
        <v>-0.27985095144526667</v>
      </c>
      <c r="AI52" s="10">
        <f t="shared" si="3"/>
        <v>-16.034278410534306</v>
      </c>
      <c r="AJ52" s="10">
        <f t="shared" si="4"/>
        <v>36.836172262489114</v>
      </c>
      <c r="AL52" s="10" t="str">
        <f t="shared" si="5"/>
        <v>0,0720439534602268-0,225556886136058i</v>
      </c>
      <c r="AM52" s="10" t="str">
        <f t="shared" si="6"/>
        <v>0,999897363082597-0,0100811250485002i</v>
      </c>
      <c r="AN52" s="10" t="str">
        <f t="shared" si="11"/>
        <v>-27,1326178940663+87,9987066535152i</v>
      </c>
      <c r="AO52" s="10">
        <f t="shared" si="12"/>
        <v>92.086651185048666</v>
      </c>
      <c r="AP52" s="10">
        <f t="shared" si="13"/>
        <v>1.8698774523729045</v>
      </c>
      <c r="AQ52" s="10">
        <f t="shared" si="14"/>
        <v>107.13608622764204</v>
      </c>
      <c r="AR52" s="10">
        <f t="shared" si="15"/>
        <v>39.283933594851106</v>
      </c>
      <c r="AS52" s="10">
        <f t="shared" si="16"/>
        <v>76.120105857340221</v>
      </c>
      <c r="AT52" s="10">
        <f t="shared" si="17"/>
        <v>91.101807817107726</v>
      </c>
    </row>
    <row r="53" spans="25:46" x14ac:dyDescent="0.35">
      <c r="Y53" s="10">
        <v>51</v>
      </c>
      <c r="Z53" s="10">
        <f t="shared" si="7"/>
        <v>33.884415613920254</v>
      </c>
      <c r="AA53" s="10" t="str">
        <f t="shared" si="8"/>
        <v>212,90206232775i</v>
      </c>
      <c r="AC53" s="10">
        <f>1/(2*$T$3+$T$6*$T$2/('4. Boost Inductor'!$B$11*$T$3^2)*($T$5))</f>
        <v>0.32865720058048542</v>
      </c>
      <c r="AD53" s="10" t="str">
        <f t="shared" si="0"/>
        <v>0,913222763683796-0,280737631647563i</v>
      </c>
      <c r="AE53" s="10" t="str">
        <f t="shared" si="1"/>
        <v>0,999999883785038-0,00047484683921827i</v>
      </c>
      <c r="AF53" s="10" t="str">
        <f t="shared" si="9"/>
        <v>66,0205457359578-20,3299695743039i</v>
      </c>
      <c r="AG53" s="10">
        <f t="shared" si="10"/>
        <v>69.079809801169958</v>
      </c>
      <c r="AH53" s="10">
        <f t="shared" si="2"/>
        <v>-0.29871968977540536</v>
      </c>
      <c r="AI53" s="10">
        <f t="shared" si="3"/>
        <v>-17.115377481587977</v>
      </c>
      <c r="AJ53" s="10">
        <f t="shared" si="4"/>
        <v>36.787022662906665</v>
      </c>
      <c r="AL53" s="10" t="str">
        <f t="shared" si="5"/>
        <v>0,0653156604147481-0,212028211845543i</v>
      </c>
      <c r="AM53" s="10" t="str">
        <f t="shared" si="6"/>
        <v>0,999882158861063-0,0108019542414417i</v>
      </c>
      <c r="AN53" s="10" t="str">
        <f t="shared" si="11"/>
        <v>-24,5092845739685+82,7282524510294i</v>
      </c>
      <c r="AO53" s="10">
        <f t="shared" si="12"/>
        <v>86.282494075733723</v>
      </c>
      <c r="AP53" s="10">
        <f t="shared" si="13"/>
        <v>1.8588207679760866</v>
      </c>
      <c r="AQ53" s="10">
        <f t="shared" si="14"/>
        <v>106.50258487629621</v>
      </c>
      <c r="AR53" s="10">
        <f t="shared" si="15"/>
        <v>38.718453805956813</v>
      </c>
      <c r="AS53" s="10">
        <f t="shared" si="16"/>
        <v>75.505476468863478</v>
      </c>
      <c r="AT53" s="10">
        <f t="shared" si="17"/>
        <v>89.387207394708241</v>
      </c>
    </row>
    <row r="54" spans="25:46" x14ac:dyDescent="0.35">
      <c r="Y54" s="10">
        <v>52</v>
      </c>
      <c r="Z54" s="10">
        <f t="shared" si="7"/>
        <v>36.307805477010106</v>
      </c>
      <c r="AA54" s="10" t="str">
        <f t="shared" si="8"/>
        <v>228,128669909084i</v>
      </c>
      <c r="AC54" s="10">
        <f>1/(2*$T$3+$T$6*$T$2/('4. Boost Inductor'!$B$11*$T$3^2)*($T$5))</f>
        <v>0.32865720058048542</v>
      </c>
      <c r="AD54" s="10" t="str">
        <f t="shared" si="0"/>
        <v>0,901637334392274-0,29697856658892i</v>
      </c>
      <c r="AE54" s="10" t="str">
        <f t="shared" si="1"/>
        <v>0,999999866567371-0,000508807550780114i</v>
      </c>
      <c r="AF54" s="10" t="str">
        <f t="shared" si="9"/>
        <v>65,1815782188025-21,5060793294802i</v>
      </c>
      <c r="AG54" s="10">
        <f t="shared" si="10"/>
        <v>68.637814557427191</v>
      </c>
      <c r="AH54" s="10">
        <f t="shared" si="2"/>
        <v>-0.31869441213677824</v>
      </c>
      <c r="AI54" s="10">
        <f t="shared" si="3"/>
        <v>-18.259844769840232</v>
      </c>
      <c r="AJ54" s="10">
        <f t="shared" si="4"/>
        <v>36.731268940647503</v>
      </c>
      <c r="AL54" s="10" t="str">
        <f t="shared" si="5"/>
        <v>0,0593755604857427-0,199133782412135i</v>
      </c>
      <c r="AM54" s="10" t="str">
        <f t="shared" si="6"/>
        <v>0,999864702654847-0,0115742984503037i</v>
      </c>
      <c r="AN54" s="10" t="str">
        <f t="shared" si="11"/>
        <v>-22,1932412699562+77,7053755542847i</v>
      </c>
      <c r="AO54" s="10">
        <f t="shared" si="12"/>
        <v>80.812532122802054</v>
      </c>
      <c r="AP54" s="10">
        <f t="shared" si="13"/>
        <v>1.8489972949295157</v>
      </c>
      <c r="AQ54" s="10">
        <f t="shared" si="14"/>
        <v>105.93974133056717</v>
      </c>
      <c r="AR54" s="10">
        <f t="shared" si="15"/>
        <v>38.149574297111911</v>
      </c>
      <c r="AS54" s="10">
        <f t="shared" si="16"/>
        <v>74.880843237759422</v>
      </c>
      <c r="AT54" s="10">
        <f t="shared" si="17"/>
        <v>87.679896560726945</v>
      </c>
    </row>
    <row r="55" spans="25:46" x14ac:dyDescent="0.35">
      <c r="Y55" s="10">
        <v>53</v>
      </c>
      <c r="Z55" s="10">
        <f t="shared" si="7"/>
        <v>38.904514499428039</v>
      </c>
      <c r="AA55" s="10" t="str">
        <f t="shared" si="8"/>
        <v>244,444273885761i</v>
      </c>
      <c r="AC55" s="10">
        <f>1/(2*$T$3+$T$6*$T$2/('4. Boost Inductor'!$B$11*$T$3^2)*($T$5))</f>
        <v>0.32865720058048542</v>
      </c>
      <c r="AD55" s="10" t="str">
        <f t="shared" si="0"/>
        <v>0,888694717615249-0,313624941284057i</v>
      </c>
      <c r="AE55" s="10" t="str">
        <f t="shared" si="1"/>
        <v>0,999999846798845-0,000545197107808171i</v>
      </c>
      <c r="AF55" s="10" t="str">
        <f t="shared" si="9"/>
        <v>64,2443289558215-22,7115500456243i</v>
      </c>
      <c r="AG55" s="10">
        <f t="shared" si="10"/>
        <v>68.140650924823888</v>
      </c>
      <c r="AH55" s="10">
        <f t="shared" si="2"/>
        <v>-0.3398057740419913</v>
      </c>
      <c r="AI55" s="10">
        <f t="shared" si="3"/>
        <v>-19.469436706782208</v>
      </c>
      <c r="AJ55" s="10">
        <f t="shared" si="4"/>
        <v>36.66812555842904</v>
      </c>
      <c r="AL55" s="10" t="str">
        <f t="shared" si="5"/>
        <v>0,0541400913626844-0,186876848807563i</v>
      </c>
      <c r="AM55" s="10" t="str">
        <f t="shared" si="6"/>
        <v>0,999844661007473-0,0124018332027015i</v>
      </c>
      <c r="AN55" s="10" t="str">
        <f t="shared" si="11"/>
        <v>-20,1519065552515+72,9313645896101i</v>
      </c>
      <c r="AO55" s="10">
        <f t="shared" si="12"/>
        <v>75.664280071340286</v>
      </c>
      <c r="AP55" s="10">
        <f t="shared" si="13"/>
        <v>1.8403830986073344</v>
      </c>
      <c r="AQ55" s="10">
        <f t="shared" si="14"/>
        <v>105.44618423740908</v>
      </c>
      <c r="AR55" s="10">
        <f t="shared" si="15"/>
        <v>37.577818084307886</v>
      </c>
      <c r="AS55" s="10">
        <f t="shared" si="16"/>
        <v>74.245943642736933</v>
      </c>
      <c r="AT55" s="10">
        <f t="shared" si="17"/>
        <v>85.976747530626881</v>
      </c>
    </row>
    <row r="56" spans="25:46" x14ac:dyDescent="0.35">
      <c r="Y56" s="10">
        <v>54</v>
      </c>
      <c r="Z56" s="10">
        <f t="shared" si="7"/>
        <v>41.686938347033525</v>
      </c>
      <c r="AA56" s="10" t="str">
        <f t="shared" si="8"/>
        <v>261,926758523382i</v>
      </c>
      <c r="AC56" s="10">
        <f>1/(2*$T$3+$T$6*$T$2/('4. Boost Inductor'!$B$11*$T$3^2)*($T$5))</f>
        <v>0.32865720058048542</v>
      </c>
      <c r="AD56" s="10" t="str">
        <f t="shared" si="0"/>
        <v>0,874287869063157-0,330576521407847i</v>
      </c>
      <c r="AE56" s="10" t="str">
        <f t="shared" si="1"/>
        <v>0,999999824101542-0,000584189219405521i</v>
      </c>
      <c r="AF56" s="10" t="str">
        <f t="shared" si="9"/>
        <v>63,201046254751-23,9391232320631i</v>
      </c>
      <c r="AG56" s="10">
        <f t="shared" si="10"/>
        <v>67.582940664157832</v>
      </c>
      <c r="AH56" s="10">
        <f t="shared" si="2"/>
        <v>-0.36207817805295794</v>
      </c>
      <c r="AI56" s="10">
        <f t="shared" si="3"/>
        <v>-20.745551456220841</v>
      </c>
      <c r="AJ56" s="10">
        <f t="shared" si="4"/>
        <v>36.596741696818867</v>
      </c>
      <c r="AL56" s="10" t="str">
        <f t="shared" si="5"/>
        <v>0,0495324716419069-0,175253204889353i</v>
      </c>
      <c r="AM56" s="10" t="str">
        <f t="shared" si="6"/>
        <v>0,999821651117972-0,0132884948743914i</v>
      </c>
      <c r="AN56" s="10" t="str">
        <f t="shared" si="11"/>
        <v>-18,3553424785694+68,404602282011i</v>
      </c>
      <c r="AO56" s="10">
        <f t="shared" si="12"/>
        <v>70.824488779416399</v>
      </c>
      <c r="AP56" s="10">
        <f t="shared" si="13"/>
        <v>1.8329555549285461</v>
      </c>
      <c r="AQ56" s="10">
        <f t="shared" si="14"/>
        <v>105.02061733246542</v>
      </c>
      <c r="AR56" s="10">
        <f t="shared" si="15"/>
        <v>37.003668968168654</v>
      </c>
      <c r="AS56" s="10">
        <f t="shared" si="16"/>
        <v>73.600410664987521</v>
      </c>
      <c r="AT56" s="10">
        <f t="shared" si="17"/>
        <v>84.275065876244582</v>
      </c>
    </row>
    <row r="57" spans="25:46" x14ac:dyDescent="0.35">
      <c r="Y57" s="10">
        <v>55</v>
      </c>
      <c r="Z57" s="10">
        <f t="shared" si="7"/>
        <v>44.668359215096302</v>
      </c>
      <c r="AA57" s="10" t="str">
        <f t="shared" si="8"/>
        <v>280,659578316113i</v>
      </c>
      <c r="AC57" s="10">
        <f>1/(2*$T$3+$T$6*$T$2/('4. Boost Inductor'!$B$11*$T$3^2)*($T$5))</f>
        <v>0.32865720058048542</v>
      </c>
      <c r="AD57" s="10" t="str">
        <f t="shared" si="0"/>
        <v>0,858315242162858-0,347710615242847i</v>
      </c>
      <c r="AE57" s="10" t="str">
        <f t="shared" si="1"/>
        <v>0,99999979804155-0,000625970018174996i</v>
      </c>
      <c r="AF57" s="10" t="str">
        <f t="shared" si="9"/>
        <v>62,0443765445492-25,179914133069i</v>
      </c>
      <c r="AG57" s="10">
        <f t="shared" ref="AG57:AG120" si="18">IMABS(AF57)</f>
        <v>66.959187095950725</v>
      </c>
      <c r="AH57" s="10">
        <f t="shared" ref="AH57:AH120" si="19">IMARGUMENT(AF57)</f>
        <v>-0.38552826895673697</v>
      </c>
      <c r="AI57" s="10">
        <f t="shared" ref="AI57:AI120" si="20">AH57/(PI())*180</f>
        <v>-22.089142694205503</v>
      </c>
      <c r="AJ57" s="10">
        <f t="shared" ref="AJ57:AJ120" si="21">20*LOG(AG57,10)</f>
        <v>36.516203451112098</v>
      </c>
      <c r="AL57" s="10" t="str">
        <f t="shared" si="5"/>
        <v>0,0454826711588564-0,164252694109942i</v>
      </c>
      <c r="AM57" s="10" t="str">
        <f t="shared" si="6"/>
        <v>0,99979523354885-0,0142384988795782i</v>
      </c>
      <c r="AN57" s="10" t="str">
        <f t="shared" si="11"/>
        <v>-16,776242955256+64,1211529997434i</v>
      </c>
      <c r="AO57" s="10">
        <f t="shared" si="12"/>
        <v>66.279443191009676</v>
      </c>
      <c r="AP57" s="10">
        <f t="shared" si="13"/>
        <v>1.8266938617159887</v>
      </c>
      <c r="AQ57" s="10">
        <f t="shared" si="14"/>
        <v>104.66184873878018</v>
      </c>
      <c r="AR57" s="10">
        <f t="shared" si="15"/>
        <v>36.427577025698021</v>
      </c>
      <c r="AS57" s="10">
        <f t="shared" si="16"/>
        <v>72.943780476810119</v>
      </c>
      <c r="AT57" s="10">
        <f t="shared" si="17"/>
        <v>82.572706044574673</v>
      </c>
    </row>
    <row r="58" spans="25:46" x14ac:dyDescent="0.35">
      <c r="Y58" s="10">
        <v>56</v>
      </c>
      <c r="Z58" s="10">
        <f t="shared" si="7"/>
        <v>47.863009232263813</v>
      </c>
      <c r="AA58" s="10" t="str">
        <f t="shared" si="8"/>
        <v>300,732156365561i</v>
      </c>
      <c r="AC58" s="10">
        <f>1/(2*$T$3+$T$6*$T$2/('4. Boost Inductor'!$B$11*$T$3^2)*($T$5))</f>
        <v>0.32865720058048542</v>
      </c>
      <c r="AD58" s="10" t="str">
        <f t="shared" si="0"/>
        <v>0,840685111864621-0,364880941772286i</v>
      </c>
      <c r="AE58" s="10" t="str">
        <f t="shared" si="1"/>
        <v>0,999999768120679-0,000670738948726662i</v>
      </c>
      <c r="AF58" s="10" t="str">
        <f t="shared" si="9"/>
        <v>60,7676774871059-26,4233297602397i</v>
      </c>
      <c r="AG58" s="10">
        <f t="shared" si="18"/>
        <v>66.263888980313297</v>
      </c>
      <c r="AH58" s="10">
        <f t="shared" si="19"/>
        <v>-0.41016332945697509</v>
      </c>
      <c r="AI58" s="10">
        <f t="shared" si="20"/>
        <v>-23.500627688918588</v>
      </c>
      <c r="AJ58" s="10">
        <f t="shared" si="21"/>
        <v>36.425538414537087</v>
      </c>
      <c r="AL58" s="10" t="str">
        <f t="shared" si="5"/>
        <v>0,0419272189485615-0,153860516658282i</v>
      </c>
      <c r="AM58" s="10" t="str">
        <f t="shared" si="6"/>
        <v>0,999764903859617-0,0152563590552141i</v>
      </c>
      <c r="AN58" s="10" t="str">
        <f t="shared" si="11"/>
        <v>-15,3898588462792+60,0752724978074i</v>
      </c>
      <c r="AO58" s="10">
        <f t="shared" si="12"/>
        <v>62.015208787798272</v>
      </c>
      <c r="AP58" s="10">
        <f t="shared" si="13"/>
        <v>1.8215794434076549</v>
      </c>
      <c r="AQ58" s="10">
        <f t="shared" si="14"/>
        <v>104.36881415504823</v>
      </c>
      <c r="AR58" s="10">
        <f t="shared" si="15"/>
        <v>35.849964203715096</v>
      </c>
      <c r="AS58" s="10">
        <f t="shared" si="16"/>
        <v>72.275502618252176</v>
      </c>
      <c r="AT58" s="10">
        <f t="shared" si="17"/>
        <v>80.868186466129643</v>
      </c>
    </row>
    <row r="59" spans="25:46" x14ac:dyDescent="0.35">
      <c r="Y59" s="10">
        <v>57</v>
      </c>
      <c r="Z59" s="10">
        <f t="shared" si="7"/>
        <v>51.286138399136469</v>
      </c>
      <c r="AA59" s="10" t="str">
        <f t="shared" si="8"/>
        <v>322,240311251433i</v>
      </c>
      <c r="AC59" s="10">
        <f>1/(2*$T$3+$T$6*$T$2/('4. Boost Inductor'!$B$11*$T$3^2)*($T$5))</f>
        <v>0.32865720058048542</v>
      </c>
      <c r="AD59" s="10" t="str">
        <f t="shared" si="0"/>
        <v>0,821320583928577-0,381917309096838i</v>
      </c>
      <c r="AE59" s="10" t="str">
        <f t="shared" si="1"/>
        <v>0,999999733766922-0,00071870971972787i</v>
      </c>
      <c r="AF59" s="10" t="str">
        <f t="shared" si="9"/>
        <v>59,3653807284567-27,6570456050972i</v>
      </c>
      <c r="AG59" s="10">
        <f t="shared" si="18"/>
        <v>65.49168344635099</v>
      </c>
      <c r="AH59" s="10">
        <f t="shared" si="19"/>
        <v>-0.4359796237413941</v>
      </c>
      <c r="AI59" s="10">
        <f t="shared" si="20"/>
        <v>-24.979792394083507</v>
      </c>
      <c r="AJ59" s="10">
        <f t="shared" si="21"/>
        <v>36.323723079934773</v>
      </c>
      <c r="AL59" s="10" t="str">
        <f t="shared" si="5"/>
        <v>0,0388088983037498-0,144058346650231i</v>
      </c>
      <c r="AM59" s="10" t="str">
        <f t="shared" si="6"/>
        <v>0,999730083008569-0,0163469083001338i</v>
      </c>
      <c r="AN59" s="10" t="str">
        <f t="shared" si="11"/>
        <v>-14,173879011451+56,259843609938i</v>
      </c>
      <c r="AO59" s="10">
        <f t="shared" si="12"/>
        <v>58.017832166032647</v>
      </c>
      <c r="AP59" s="10">
        <f t="shared" si="13"/>
        <v>1.8175962600557027</v>
      </c>
      <c r="AQ59" s="10">
        <f t="shared" si="14"/>
        <v>104.14059455995458</v>
      </c>
      <c r="AR59" s="10">
        <f t="shared" si="15"/>
        <v>35.271229947478837</v>
      </c>
      <c r="AS59" s="10">
        <f t="shared" si="16"/>
        <v>71.594953027413609</v>
      </c>
      <c r="AT59" s="10">
        <f t="shared" si="17"/>
        <v>79.160802165871075</v>
      </c>
    </row>
    <row r="60" spans="25:46" x14ac:dyDescent="0.35">
      <c r="Y60" s="10">
        <v>58</v>
      </c>
      <c r="Z60" s="10">
        <f t="shared" si="7"/>
        <v>54.95408738576247</v>
      </c>
      <c r="AA60" s="10" t="str">
        <f t="shared" si="8"/>
        <v>345,286714431686i</v>
      </c>
      <c r="AC60" s="10">
        <f>1/(2*$T$3+$T$6*$T$2/('4. Boost Inductor'!$B$11*$T$3^2)*($T$5))</f>
        <v>0.32865720058048542</v>
      </c>
      <c r="AD60" s="10" t="str">
        <f t="shared" si="0"/>
        <v>0,800165158583114-0,398626372361869i</v>
      </c>
      <c r="AE60" s="10" t="str">
        <f t="shared" si="1"/>
        <v>0,999999694323533-0,000770111324039679i</v>
      </c>
      <c r="AF60" s="10" t="str">
        <f t="shared" si="9"/>
        <v>57,8333947952573-28,8670605252663i</v>
      </c>
      <c r="AG60" s="10">
        <f t="shared" si="18"/>
        <v>64.637518028722937</v>
      </c>
      <c r="AH60" s="10">
        <f t="shared" si="19"/>
        <v>-0.46296075447479895</v>
      </c>
      <c r="AI60" s="10">
        <f t="shared" si="20"/>
        <v>-26.525697311598321</v>
      </c>
      <c r="AJ60" s="10">
        <f t="shared" si="21"/>
        <v>36.209693438274741</v>
      </c>
      <c r="AL60" s="10" t="str">
        <f t="shared" si="5"/>
        <v>0,0360763685756353-0,134825274126739i</v>
      </c>
      <c r="AM60" s="10" t="str">
        <f t="shared" si="6"/>
        <v>0,999690106342773-0,0175153205285983i</v>
      </c>
      <c r="AN60" s="10" t="str">
        <f t="shared" si="11"/>
        <v>-13,1082827927595+52,6667436437181i</v>
      </c>
      <c r="AO60" s="10">
        <f t="shared" si="12"/>
        <v>54.273501488369767</v>
      </c>
      <c r="AP60" s="10">
        <f t="shared" si="13"/>
        <v>1.8147310300552388</v>
      </c>
      <c r="AQ60" s="10">
        <f t="shared" si="14"/>
        <v>103.97642897359374</v>
      </c>
      <c r="AR60" s="10">
        <f t="shared" si="15"/>
        <v>34.691756825185493</v>
      </c>
      <c r="AS60" s="10">
        <f t="shared" si="16"/>
        <v>70.901450263460234</v>
      </c>
      <c r="AT60" s="10">
        <f t="shared" si="17"/>
        <v>77.45073166199542</v>
      </c>
    </row>
    <row r="61" spans="25:46" x14ac:dyDescent="0.35">
      <c r="Y61" s="10">
        <v>59</v>
      </c>
      <c r="Z61" s="10">
        <f t="shared" si="7"/>
        <v>58.884365535558892</v>
      </c>
      <c r="AA61" s="10" t="str">
        <f t="shared" si="8"/>
        <v>369,981380355616i</v>
      </c>
      <c r="AC61" s="10">
        <f>1/(2*$T$3+$T$6*$T$2/('4. Boost Inductor'!$B$11*$T$3^2)*($T$5))</f>
        <v>0.32865720058048542</v>
      </c>
      <c r="AD61" s="10" t="str">
        <f t="shared" si="0"/>
        <v>0,77718861983841-0,414793732881337i</v>
      </c>
      <c r="AE61" s="10" t="str">
        <f t="shared" si="1"/>
        <v>0,999999649036466-0,000825189131808351i</v>
      </c>
      <c r="AF61" s="10" t="str">
        <f t="shared" si="9"/>
        <v>56,1695315738154-30,0378487544306i</v>
      </c>
      <c r="AG61" s="10">
        <f t="shared" si="18"/>
        <v>63.696849490503787</v>
      </c>
      <c r="AH61" s="10">
        <f t="shared" si="19"/>
        <v>-0.49107611736982748</v>
      </c>
      <c r="AI61" s="10">
        <f t="shared" si="20"/>
        <v>-28.13658894496217</v>
      </c>
      <c r="AJ61" s="10">
        <f t="shared" si="21"/>
        <v>36.082359044595137</v>
      </c>
      <c r="AL61" s="10" t="str">
        <f t="shared" si="5"/>
        <v>0,0336837446616741-0,126138589327951i</v>
      </c>
      <c r="AM61" s="10" t="str">
        <f t="shared" si="6"/>
        <v>0,999644210970396-0,0187671339951826i</v>
      </c>
      <c r="AN61" s="10" t="str">
        <f t="shared" si="11"/>
        <v>-12,1751759912769+49,2871502896645i</v>
      </c>
      <c r="AO61" s="10">
        <f t="shared" si="12"/>
        <v>50.768672368839241</v>
      </c>
      <c r="AP61" s="10">
        <f t="shared" si="13"/>
        <v>1.8129733741751317</v>
      </c>
      <c r="AQ61" s="10">
        <f t="shared" si="14"/>
        <v>103.87572270982726</v>
      </c>
      <c r="AR61" s="10">
        <f t="shared" si="15"/>
        <v>34.111916129850599</v>
      </c>
      <c r="AS61" s="10">
        <f t="shared" si="16"/>
        <v>70.194275174445735</v>
      </c>
      <c r="AT61" s="10">
        <f t="shared" si="17"/>
        <v>75.739133764865088</v>
      </c>
    </row>
    <row r="62" spans="25:46" x14ac:dyDescent="0.35">
      <c r="Y62" s="10">
        <v>60</v>
      </c>
      <c r="Z62" s="10">
        <f t="shared" si="7"/>
        <v>63.095734448019307</v>
      </c>
      <c r="AA62" s="10" t="str">
        <f t="shared" si="8"/>
        <v>396,4421916295i</v>
      </c>
      <c r="AC62" s="10">
        <f>1/(2*$T$3+$T$6*$T$2/('4. Boost Inductor'!$B$11*$T$3^2)*($T$5))</f>
        <v>0.32865720058048542</v>
      </c>
      <c r="AD62" s="10" t="str">
        <f t="shared" si="0"/>
        <v>0,752392914679965-0,430187597326568i</v>
      </c>
      <c r="AE62" s="10" t="str">
        <f t="shared" si="1"/>
        <v>0,999999597039958-0,000884206061728599i</v>
      </c>
      <c r="AF62" s="10" t="str">
        <f t="shared" si="9"/>
        <v>54,3739320562761-31,1526248855764i</v>
      </c>
      <c r="AG62" s="10">
        <f t="shared" si="18"/>
        <v>62.665864108954594</v>
      </c>
      <c r="AH62" s="10">
        <f t="shared" si="19"/>
        <v>-0.52027955439943729</v>
      </c>
      <c r="AI62" s="10">
        <f t="shared" si="20"/>
        <v>-29.809822634034877</v>
      </c>
      <c r="AJ62" s="10">
        <f t="shared" si="21"/>
        <v>35.940620651959819</v>
      </c>
      <c r="AL62" s="10" t="str">
        <f t="shared" si="5"/>
        <v>0,0315901576934859-0,117974427676279i</v>
      </c>
      <c r="AM62" s="10" t="str">
        <f t="shared" si="6"/>
        <v>0,999591521279939-0,020108276043542i</v>
      </c>
      <c r="AN62" s="10" t="str">
        <f t="shared" si="11"/>
        <v>-11,358619503684+46,1117932313166i</v>
      </c>
      <c r="AO62" s="10">
        <f t="shared" si="12"/>
        <v>47.490164371553455</v>
      </c>
      <c r="AP62" s="10">
        <f t="shared" si="13"/>
        <v>1.8123158863542519</v>
      </c>
      <c r="AQ62" s="10">
        <f t="shared" si="14"/>
        <v>103.83805143260957</v>
      </c>
      <c r="AR62" s="10">
        <f t="shared" si="15"/>
        <v>33.532073455036915</v>
      </c>
      <c r="AS62" s="10">
        <f t="shared" si="16"/>
        <v>69.472694106996727</v>
      </c>
      <c r="AT62" s="10">
        <f t="shared" si="17"/>
        <v>74.028228798574702</v>
      </c>
    </row>
    <row r="63" spans="25:46" x14ac:dyDescent="0.35">
      <c r="Y63" s="10">
        <v>61</v>
      </c>
      <c r="Z63" s="10">
        <f t="shared" si="7"/>
        <v>67.608297539198134</v>
      </c>
      <c r="AA63" s="10" t="str">
        <f t="shared" si="8"/>
        <v>424,795461741715i</v>
      </c>
      <c r="AC63" s="10">
        <f>1/(2*$T$3+$T$6*$T$2/('4. Boost Inductor'!$B$11*$T$3^2)*($T$5))</f>
        <v>0.32865720058048542</v>
      </c>
      <c r="AD63" s="10" t="str">
        <f t="shared" si="0"/>
        <v>0,725817582878772-0,444564129551419i</v>
      </c>
      <c r="AE63" s="10" t="str">
        <f t="shared" si="1"/>
        <v>0,999999537339982-0,000947443836068141i</v>
      </c>
      <c r="AF63" s="10" t="str">
        <f t="shared" si="9"/>
        <v>52,4494595443737-32,193731427789i</v>
      </c>
      <c r="AG63" s="10">
        <f t="shared" si="18"/>
        <v>61.541710650107078</v>
      </c>
      <c r="AH63" s="10">
        <f t="shared" si="19"/>
        <v>-0.55050831918133614</v>
      </c>
      <c r="AI63" s="10">
        <f t="shared" si="20"/>
        <v>-31.541803275931382</v>
      </c>
      <c r="AJ63" s="10">
        <f t="shared" si="21"/>
        <v>35.783391279755101</v>
      </c>
      <c r="AL63" s="10" t="str">
        <f t="shared" si="5"/>
        <v>0,0297593142747018-0,110308293677262i</v>
      </c>
      <c r="AM63" s="10" t="str">
        <f t="shared" si="6"/>
        <v>0,999531032337532-0,0215450893249564i</v>
      </c>
      <c r="AN63" s="10" t="str">
        <f t="shared" si="11"/>
        <v>-10,6444573812362+43,1311585558996i</v>
      </c>
      <c r="AO63" s="10">
        <f t="shared" si="12"/>
        <v>44.425232822294866</v>
      </c>
      <c r="AP63" s="10">
        <f t="shared" si="13"/>
        <v>1.8127541344763434</v>
      </c>
      <c r="AQ63" s="10">
        <f t="shared" si="14"/>
        <v>103.86316120038495</v>
      </c>
      <c r="AR63" s="10">
        <f t="shared" si="15"/>
        <v>32.952594250389986</v>
      </c>
      <c r="AS63" s="10">
        <f t="shared" si="16"/>
        <v>68.735985530145086</v>
      </c>
      <c r="AT63" s="10">
        <f t="shared" si="17"/>
        <v>72.321357924453565</v>
      </c>
    </row>
    <row r="64" spans="25:46" x14ac:dyDescent="0.35">
      <c r="Y64" s="10">
        <v>62</v>
      </c>
      <c r="Z64" s="10">
        <f t="shared" si="7"/>
        <v>72.443596007499011</v>
      </c>
      <c r="AA64" s="10" t="str">
        <f t="shared" si="8"/>
        <v>455,176538033571i</v>
      </c>
      <c r="AC64" s="10">
        <f>1/(2*$T$3+$T$6*$T$2/('4. Boost Inductor'!$B$11*$T$3^2)*($T$5))</f>
        <v>0.32865720058048542</v>
      </c>
      <c r="AD64" s="10" t="str">
        <f t="shared" si="0"/>
        <v>0,6975442164995-0,457674494603533i</v>
      </c>
      <c r="AE64" s="10" t="str">
        <f t="shared" si="1"/>
        <v>0,999999468795243-0,00101520432544256i</v>
      </c>
      <c r="AF64" s="10" t="str">
        <f t="shared" si="9"/>
        <v>50,4020225880408-33,1431489039955i</v>
      </c>
      <c r="AG64" s="10">
        <f t="shared" si="18"/>
        <v>60.322733693341469</v>
      </c>
      <c r="AH64" s="10">
        <f t="shared" si="19"/>
        <v>-0.58168247291637631</v>
      </c>
      <c r="AI64" s="10">
        <f t="shared" si="20"/>
        <v>-33.32795071484118</v>
      </c>
      <c r="AJ64" s="10">
        <f t="shared" si="21"/>
        <v>35.609620291528692</v>
      </c>
      <c r="AL64" s="10" t="str">
        <f t="shared" si="5"/>
        <v>0,0281590666327878-0,103115480962587i</v>
      </c>
      <c r="AM64" s="10" t="str">
        <f t="shared" si="6"/>
        <v>0,999461590855295-0,0230843595230836i</v>
      </c>
      <c r="AN64" s="10" t="str">
        <f t="shared" si="11"/>
        <v>-10,0201491299413+40,3356526812567i</v>
      </c>
      <c r="AO64" s="10">
        <f t="shared" si="12"/>
        <v>41.561620105684447</v>
      </c>
      <c r="AP64" s="10">
        <f t="shared" si="13"/>
        <v>1.8142865920145201</v>
      </c>
      <c r="AQ64" s="10">
        <f t="shared" si="14"/>
        <v>103.95096454960549</v>
      </c>
      <c r="AR64" s="10">
        <f t="shared" si="15"/>
        <v>32.373849367329925</v>
      </c>
      <c r="AS64" s="10">
        <f t="shared" si="16"/>
        <v>67.98346965885861</v>
      </c>
      <c r="AT64" s="10">
        <f t="shared" si="17"/>
        <v>70.623013834764308</v>
      </c>
    </row>
    <row r="65" spans="25:46" x14ac:dyDescent="0.35">
      <c r="Y65" s="10">
        <v>63</v>
      </c>
      <c r="Z65" s="10">
        <f t="shared" si="7"/>
        <v>77.624711662869146</v>
      </c>
      <c r="AA65" s="10" t="str">
        <f t="shared" si="8"/>
        <v>487,730447794191i</v>
      </c>
      <c r="AC65" s="10">
        <f>1/(2*$T$3+$T$6*$T$2/('4. Boost Inductor'!$B$11*$T$3^2)*($T$5))</f>
        <v>0.32865720058048542</v>
      </c>
      <c r="AD65" s="10" t="str">
        <f t="shared" si="0"/>
        <v>0,667699389978878-0,469273419576975i</v>
      </c>
      <c r="AE65" s="10" t="str">
        <f t="shared" si="1"/>
        <v>0,999999390095359-0,00108781098975751i</v>
      </c>
      <c r="AF65" s="10" t="str">
        <f t="shared" si="9"/>
        <v>48,2407871692155-33,9831157919386i</v>
      </c>
      <c r="AG65" s="10">
        <f t="shared" si="18"/>
        <v>59.008691780396674</v>
      </c>
      <c r="AH65" s="10">
        <f t="shared" si="19"/>
        <v>-0.61370482336949184</v>
      </c>
      <c r="AI65" s="10">
        <f t="shared" si="20"/>
        <v>-35.162696245893535</v>
      </c>
      <c r="AJ65" s="10">
        <f t="shared" si="21"/>
        <v>35.418319729196604</v>
      </c>
      <c r="AL65" s="10" t="str">
        <f t="shared" si="5"/>
        <v>0,0267610021056753-0,0963714042734238i</v>
      </c>
      <c r="AM65" s="10" t="str">
        <f t="shared" si="6"/>
        <v>0,999381873380729-0,0247333446083294i</v>
      </c>
      <c r="AN65" s="10" t="str">
        <f t="shared" si="11"/>
        <v>-9,47460953306941+37,7157319586162i</v>
      </c>
      <c r="AO65" s="10">
        <f t="shared" si="12"/>
        <v>38.887590089620019</v>
      </c>
      <c r="AP65" s="10">
        <f t="shared" si="13"/>
        <v>1.8169144990946029</v>
      </c>
      <c r="AQ65" s="10">
        <f t="shared" si="14"/>
        <v>104.10153253424677</v>
      </c>
      <c r="AR65" s="10">
        <f t="shared" si="15"/>
        <v>31.796220604677607</v>
      </c>
      <c r="AS65" s="10">
        <f t="shared" si="16"/>
        <v>67.214540333874211</v>
      </c>
      <c r="AT65" s="10">
        <f t="shared" si="17"/>
        <v>68.93883628835323</v>
      </c>
    </row>
    <row r="66" spans="25:46" x14ac:dyDescent="0.35">
      <c r="Y66" s="10">
        <v>64</v>
      </c>
      <c r="Z66" s="10">
        <f t="shared" si="7"/>
        <v>83.176377110267055</v>
      </c>
      <c r="AA66" s="10" t="str">
        <f t="shared" si="8"/>
        <v>522,612590563658i</v>
      </c>
      <c r="AC66" s="10">
        <f>1/(2*$T$3+$T$6*$T$2/('4. Boost Inductor'!$B$11*$T$3^2)*($T$5))</f>
        <v>0.32865720058048542</v>
      </c>
      <c r="AD66" s="10" t="str">
        <f t="shared" ref="AD66:AD129" si="22">IMDIV(IMSUM(1,IMDIV(AA66,$W$3)),IMSUM(1,IMDIV(AA66,$W$5)))</f>
        <v>0,636455528001361-0,479128894588879i</v>
      </c>
      <c r="AE66" s="10" t="str">
        <f t="shared" ref="AE66:AE129" si="23">IMDIV(IMSUM(1,IMDIV(IMPRODUCT(-1,AA66),$W$4)),IMSUM(1,IMDIV(AA66,$W$1*$W$2),IMDIV(IMPOWER(AA66,2),$W$1^2)))</f>
        <v>0,999999299735809-0,0011656104221937i</v>
      </c>
      <c r="AF66" s="10" t="str">
        <f t="shared" si="9"/>
        <v>45,9782395496977-34,6968310281123i</v>
      </c>
      <c r="AG66" s="10">
        <f t="shared" si="18"/>
        <v>57.600942661407565</v>
      </c>
      <c r="AH66" s="10">
        <f t="shared" si="19"/>
        <v>-0.64646150030538141</v>
      </c>
      <c r="AI66" s="10">
        <f t="shared" si="20"/>
        <v>-37.039515585193534</v>
      </c>
      <c r="AJ66" s="10">
        <f t="shared" si="21"/>
        <v>35.208591817525928</v>
      </c>
      <c r="AL66" s="10" t="str">
        <f t="shared" ref="AL66:AL129" si="24">IMDIV(IMSUM(1,IMDIV(AA66,wz1e)),IMSUM(1,IMDIV(AA66,wp1e)))</f>
        <v>0,0255400573313768-0,0900518575423433i</v>
      </c>
      <c r="AM66" s="10" t="str">
        <f t="shared" ref="AM66:AM129" si="25">IMDIV(IMSUM(1,IMDIV(AA66,wz2e)),IMSUM(1,IMDIV(AA66,wp2e)))</f>
        <v>0,999290361308279-0,0264998056277609i</v>
      </c>
      <c r="AN66" s="10" t="str">
        <f t="shared" si="11"/>
        <v>-8,99805808666761+35,2620034712906i</v>
      </c>
      <c r="AO66" s="10">
        <f t="shared" si="12"/>
        <v>36.391948809322571</v>
      </c>
      <c r="AP66" s="10">
        <f t="shared" si="13"/>
        <v>1.8206416492136051</v>
      </c>
      <c r="AQ66" s="10">
        <f t="shared" si="14"/>
        <v>104.31508250567728</v>
      </c>
      <c r="AR66" s="10">
        <f t="shared" si="15"/>
        <v>31.220106258453598</v>
      </c>
      <c r="AS66" s="10">
        <f t="shared" si="16"/>
        <v>66.428698075979526</v>
      </c>
      <c r="AT66" s="10">
        <f t="shared" si="17"/>
        <v>67.275566920483755</v>
      </c>
    </row>
    <row r="67" spans="25:46" x14ac:dyDescent="0.35">
      <c r="Y67" s="10">
        <v>65</v>
      </c>
      <c r="Z67" s="10">
        <f t="shared" ref="Z67:Z130" si="26">10^(LOG($F$3/$F$2,10)*Y67/200)</f>
        <v>89.125093813374562</v>
      </c>
      <c r="AA67" s="10" t="str">
        <f t="shared" ref="AA67:AA130" si="27">IMPRODUCT(COMPLEX(0,1),2*PI()*Z67)</f>
        <v>559,989479949197i</v>
      </c>
      <c r="AC67" s="10">
        <f>1/(2*$T$3+$T$6*$T$2/('4. Boost Inductor'!$B$11*$T$3^2)*($T$5))</f>
        <v>0.32865720058048542</v>
      </c>
      <c r="AD67" s="10" t="str">
        <f t="shared" si="22"/>
        <v>0,604029284440217-0,487032435712456i</v>
      </c>
      <c r="AE67" s="10" t="str">
        <f t="shared" si="23"/>
        <v>0,999999195989175-0,0012489740036015i</v>
      </c>
      <c r="AF67" s="10" t="str">
        <f t="shared" ref="AF67:AF130" si="28">IMPRODUCT(AB$2,AC67,AD67,AE67)</f>
        <v>43,6300688809495-35,2691972062215i</v>
      </c>
      <c r="AG67" s="10">
        <f t="shared" si="18"/>
        <v>56.102577321614561</v>
      </c>
      <c r="AH67" s="10">
        <f t="shared" si="19"/>
        <v>-0.67982322755019198</v>
      </c>
      <c r="AI67" s="10">
        <f t="shared" si="20"/>
        <v>-38.951001753587789</v>
      </c>
      <c r="AJ67" s="10">
        <f t="shared" si="21"/>
        <v>34.979656259292391</v>
      </c>
      <c r="AL67" s="10" t="str">
        <f t="shared" si="24"/>
        <v>0,0244741601959962-0,0841332105349958i</v>
      </c>
      <c r="AM67" s="10" t="str">
        <f t="shared" si="25"/>
        <v>0,999185312259218-0,0283920390134553i</v>
      </c>
      <c r="AN67" s="10" t="str">
        <f t="shared" ref="AN67:AN130" si="29">IMPRODUCT($AK$2,AL67,AM67)</f>
        <v>-8,58187923671802+32,9653018876113i</v>
      </c>
      <c r="AO67" s="10">
        <f t="shared" ref="AO67:AO130" si="30">IMABS(AN67)</f>
        <v>34.064054071336848</v>
      </c>
      <c r="AP67" s="10">
        <f t="shared" ref="AP67:AP130" si="31">IMARGUMENT(AN67)</f>
        <v>1.8254740956194999</v>
      </c>
      <c r="AQ67" s="10">
        <f t="shared" ref="AQ67:AQ130" si="32">AP67/(PI())*180</f>
        <v>104.59196128945823</v>
      </c>
      <c r="AR67" s="10">
        <f t="shared" ref="AR67:AR130" si="33">20*LOG(AO67,10)</f>
        <v>30.645926669381765</v>
      </c>
      <c r="AS67" s="10">
        <f t="shared" ref="AS67:AS130" si="34">AR67+AJ67</f>
        <v>65.625582928674163</v>
      </c>
      <c r="AT67" s="10">
        <f t="shared" ref="AT67:AT130" si="35">AQ67+AI67</f>
        <v>65.640959535870437</v>
      </c>
    </row>
    <row r="68" spans="25:46" x14ac:dyDescent="0.35">
      <c r="Y68" s="10">
        <v>66</v>
      </c>
      <c r="Z68" s="10">
        <f t="shared" si="26"/>
        <v>95.49925860214357</v>
      </c>
      <c r="AA68" s="10" t="str">
        <f t="shared" si="27"/>
        <v>600,039538495532i</v>
      </c>
      <c r="AC68" s="10">
        <f>1/(2*$T$3+$T$6*$T$2/('4. Boost Inductor'!$B$11*$T$3^2)*($T$5))</f>
        <v>0.32865720058048542</v>
      </c>
      <c r="AD68" s="10" t="str">
        <f t="shared" si="22"/>
        <v>0,570677194445046-0,492809164943297i</v>
      </c>
      <c r="AE68" s="10" t="str">
        <f t="shared" si="23"/>
        <v>0,999999076872115-0,00133829967519795i</v>
      </c>
      <c r="AF68" s="10" t="str">
        <f t="shared" si="28"/>
        <v>41,214852346756-35,6875505260062i</v>
      </c>
      <c r="AG68" s="10">
        <f t="shared" si="18"/>
        <v>54.518486007143885</v>
      </c>
      <c r="AH68" s="10">
        <f t="shared" si="19"/>
        <v>-0.71364730561241918</v>
      </c>
      <c r="AI68" s="10">
        <f t="shared" si="20"/>
        <v>-40.888978672474444</v>
      </c>
      <c r="AJ68" s="10">
        <f t="shared" si="21"/>
        <v>34.730875737136543</v>
      </c>
      <c r="AL68" s="10" t="str">
        <f t="shared" si="24"/>
        <v>0,0235439008834807-0,0785925548605334i</v>
      </c>
      <c r="AM68" s="10" t="str">
        <f t="shared" si="25"/>
        <v>0,999064727314109-0,0304189103622441i</v>
      </c>
      <c r="AN68" s="10" t="str">
        <f t="shared" si="29"/>
        <v>-8,21849393872525+30,8167465820623i</v>
      </c>
      <c r="AO68" s="10">
        <f t="shared" si="30"/>
        <v>31.893816211358466</v>
      </c>
      <c r="AP68" s="10">
        <f t="shared" si="31"/>
        <v>1.8314197692848881</v>
      </c>
      <c r="AQ68" s="10">
        <f t="shared" si="32"/>
        <v>104.93262329684705</v>
      </c>
      <c r="AR68" s="10">
        <f t="shared" si="33"/>
        <v>30.074129745396185</v>
      </c>
      <c r="AS68" s="10">
        <f t="shared" si="34"/>
        <v>64.805005482532721</v>
      </c>
      <c r="AT68" s="10">
        <f t="shared" si="35"/>
        <v>64.043644624372604</v>
      </c>
    </row>
    <row r="69" spans="25:46" x14ac:dyDescent="0.35">
      <c r="Y69" s="10">
        <v>67</v>
      </c>
      <c r="Z69" s="10">
        <f t="shared" si="26"/>
        <v>102.32929922807544</v>
      </c>
      <c r="AA69" s="10" t="str">
        <f t="shared" si="27"/>
        <v>642,953949403827i</v>
      </c>
      <c r="AC69" s="10">
        <f>1/(2*$T$3+$T$6*$T$2/('4. Boost Inductor'!$B$11*$T$3^2)*($T$5))</f>
        <v>0.32865720058048542</v>
      </c>
      <c r="AD69" s="10" t="str">
        <f t="shared" si="22"/>
        <v>0,536688619704407-0,49632686721356i</v>
      </c>
      <c r="AE69" s="10" t="str">
        <f t="shared" si="23"/>
        <v>0,99999894010745-0,00143401383802276i</v>
      </c>
      <c r="AF69" s="10" t="str">
        <f t="shared" si="28"/>
        <v>38,7535442891403-35,9423166642637i</v>
      </c>
      <c r="AG69" s="10">
        <f t="shared" si="18"/>
        <v>52.855343364361637</v>
      </c>
      <c r="AH69" s="10">
        <f t="shared" si="19"/>
        <v>-0.74778026326461999</v>
      </c>
      <c r="AI69" s="10">
        <f t="shared" si="20"/>
        <v>-42.844653088244321</v>
      </c>
      <c r="AJ69" s="10">
        <f t="shared" si="21"/>
        <v>34.461777969615888</v>
      </c>
      <c r="AL69" s="10" t="str">
        <f t="shared" si="24"/>
        <v>0,0227322321364905-0,0734078086147257i</v>
      </c>
      <c r="AM69" s="10" t="str">
        <f t="shared" si="25"/>
        <v>0,998926313512732-0,0325898896013454i</v>
      </c>
      <c r="AN69" s="10" t="str">
        <f t="shared" si="29"/>
        <v>-7,90124257901239+28,8077826359802i</v>
      </c>
      <c r="AO69" s="10">
        <f t="shared" si="30"/>
        <v>29.871691861933108</v>
      </c>
      <c r="AP69" s="10">
        <f t="shared" si="31"/>
        <v>1.8384879985927527</v>
      </c>
      <c r="AQ69" s="10">
        <f t="shared" si="32"/>
        <v>105.33760300481835</v>
      </c>
      <c r="AR69" s="10">
        <f t="shared" si="33"/>
        <v>29.505196414247671</v>
      </c>
      <c r="AS69" s="10">
        <f t="shared" si="34"/>
        <v>63.966974383863558</v>
      </c>
      <c r="AT69" s="10">
        <f t="shared" si="35"/>
        <v>62.492949916574027</v>
      </c>
    </row>
    <row r="70" spans="25:46" x14ac:dyDescent="0.35">
      <c r="Y70" s="10">
        <v>68</v>
      </c>
      <c r="Z70" s="10">
        <f t="shared" si="26"/>
        <v>109.64781961431841</v>
      </c>
      <c r="AA70" s="10" t="str">
        <f t="shared" si="27"/>
        <v>688,937569164963i</v>
      </c>
      <c r="AC70" s="10">
        <f>1/(2*$T$3+$T$6*$T$2/('4. Boost Inductor'!$B$11*$T$3^2)*($T$5))</f>
        <v>0.32865720058048542</v>
      </c>
      <c r="AD70" s="10" t="str">
        <f t="shared" si="22"/>
        <v>0,502376302461099-0,49750319149825i</v>
      </c>
      <c r="AE70" s="10" t="str">
        <f t="shared" si="23"/>
        <v>0,999998783080626-0,00153657338821394i</v>
      </c>
      <c r="AF70" s="10" t="str">
        <f t="shared" si="28"/>
        <v>36,2687921703137-36,027532248955i</v>
      </c>
      <c r="AG70" s="10">
        <f t="shared" si="18"/>
        <v>51.121505899600614</v>
      </c>
      <c r="AH70" s="10">
        <f t="shared" si="19"/>
        <v>-0.78206107776096734</v>
      </c>
      <c r="AI70" s="10">
        <f t="shared" si="20"/>
        <v>-44.808799077155918</v>
      </c>
      <c r="AJ70" s="10">
        <f t="shared" si="21"/>
        <v>34.172072769303497</v>
      </c>
      <c r="AL70" s="10" t="str">
        <f t="shared" si="24"/>
        <v>0,022024197977431-0,0685577875153566i</v>
      </c>
      <c r="AM70" s="10" t="str">
        <f t="shared" si="25"/>
        <v>0,998767440958928-0,034915087405367i</v>
      </c>
      <c r="AN70" s="10" t="str">
        <f t="shared" si="29"/>
        <v>-7,62427896113284+26,9302087813611i</v>
      </c>
      <c r="AO70" s="10">
        <f t="shared" si="30"/>
        <v>27.988672256555351</v>
      </c>
      <c r="AP70" s="10">
        <f t="shared" si="31"/>
        <v>1.8466889194431728</v>
      </c>
      <c r="AQ70" s="10">
        <f t="shared" si="32"/>
        <v>105.80748115766826</v>
      </c>
      <c r="AR70" s="10">
        <f t="shared" si="33"/>
        <v>28.939645932646947</v>
      </c>
      <c r="AS70" s="10">
        <f t="shared" si="34"/>
        <v>63.111718701950444</v>
      </c>
      <c r="AT70" s="10">
        <f t="shared" si="35"/>
        <v>60.998682080512346</v>
      </c>
    </row>
    <row r="71" spans="25:46" x14ac:dyDescent="0.35">
      <c r="Y71" s="10">
        <v>69</v>
      </c>
      <c r="Z71" s="10">
        <f t="shared" si="26"/>
        <v>117.48975549395293</v>
      </c>
      <c r="AA71" s="10" t="str">
        <f t="shared" si="27"/>
        <v>738,209905463727i</v>
      </c>
      <c r="AC71" s="10">
        <f>1/(2*$T$3+$T$6*$T$2/('4. Boost Inductor'!$B$11*$T$3^2)*($T$5))</f>
        <v>0.32865720058048542</v>
      </c>
      <c r="AD71" s="10" t="str">
        <f t="shared" si="22"/>
        <v>0,468065131469696-0,496310286706494i</v>
      </c>
      <c r="AE71" s="10" t="str">
        <f t="shared" si="23"/>
        <v>0,999998602789742-0,00164646789780997i</v>
      </c>
      <c r="AF71" s="10" t="str">
        <f t="shared" si="28"/>
        <v>33,784123051089-35,9411805713956i</v>
      </c>
      <c r="AG71" s="10">
        <f t="shared" si="18"/>
        <v>49.326822634311114</v>
      </c>
      <c r="AH71" s="10">
        <f t="shared" si="19"/>
        <v>-0.81632480915154881</v>
      </c>
      <c r="AI71" s="10">
        <f t="shared" si="20"/>
        <v>-46.77196627620615</v>
      </c>
      <c r="AJ71" s="10">
        <f t="shared" si="21"/>
        <v>33.86166282948286</v>
      </c>
      <c r="AL71" s="10" t="str">
        <f t="shared" si="24"/>
        <v>0,0214066895653651-0,0640222491399746i</v>
      </c>
      <c r="AM71" s="10" t="str">
        <f t="shared" si="25"/>
        <v>0,998585093781793-0,0374052926682017i</v>
      </c>
      <c r="AN71" s="10" t="str">
        <f t="shared" si="29"/>
        <v>-7,38247483677978+25,1761948638026i</v>
      </c>
      <c r="AO71" s="10">
        <f t="shared" si="30"/>
        <v>26.236267313317402</v>
      </c>
      <c r="AP71" s="10">
        <f t="shared" si="31"/>
        <v>1.8560327636831575</v>
      </c>
      <c r="AQ71" s="10">
        <f t="shared" si="32"/>
        <v>106.34284399704701</v>
      </c>
      <c r="AR71" s="10">
        <f t="shared" si="33"/>
        <v>28.378040942928404</v>
      </c>
      <c r="AS71" s="10">
        <f t="shared" si="34"/>
        <v>62.239703772411261</v>
      </c>
      <c r="AT71" s="10">
        <f t="shared" si="35"/>
        <v>59.570877720840862</v>
      </c>
    </row>
    <row r="72" spans="25:46" x14ac:dyDescent="0.35">
      <c r="Y72" s="10">
        <v>70</v>
      </c>
      <c r="Z72" s="10">
        <f t="shared" si="26"/>
        <v>125.89254117941665</v>
      </c>
      <c r="AA72" s="10" t="str">
        <f t="shared" si="27"/>
        <v>791,006165022012i</v>
      </c>
      <c r="AC72" s="10">
        <f>1/(2*$T$3+$T$6*$T$2/('4. Boost Inductor'!$B$11*$T$3^2)*($T$5))</f>
        <v>0.32865720058048542</v>
      </c>
      <c r="AD72" s="10" t="str">
        <f t="shared" si="22"/>
        <v>0,434079952176213-0,492776395372396i</v>
      </c>
      <c r="AE72" s="10" t="str">
        <f t="shared" si="23"/>
        <v>0,99999839578815-0,00176422195147864i</v>
      </c>
      <c r="AF72" s="10" t="str">
        <f t="shared" si="28"/>
        <v>31,3230608559212-35,6853069952795i</v>
      </c>
      <c r="AG72" s="10">
        <f t="shared" si="18"/>
        <v>47.482368061535084</v>
      </c>
      <c r="AH72" s="10">
        <f t="shared" si="19"/>
        <v>-0.85040645241306789</v>
      </c>
      <c r="AI72" s="10">
        <f t="shared" si="20"/>
        <v>-48.724700593961671</v>
      </c>
      <c r="AJ72" s="10">
        <f t="shared" si="21"/>
        <v>33.530647402960149</v>
      </c>
      <c r="AL72" s="10" t="str">
        <f t="shared" si="24"/>
        <v>0,020868226507805-0,0597819157824383i</v>
      </c>
      <c r="AM72" s="10" t="str">
        <f t="shared" si="25"/>
        <v>0,998375814109696-0,0400720107554797i</v>
      </c>
      <c r="AN72" s="10" t="str">
        <f t="shared" si="29"/>
        <v>-7,17133432095123+23,5382909737671i</v>
      </c>
      <c r="AO72" s="10">
        <f t="shared" si="30"/>
        <v>24.606486500688774</v>
      </c>
      <c r="AP72" s="10">
        <f t="shared" si="31"/>
        <v>1.8665290138170432</v>
      </c>
      <c r="AQ72" s="10">
        <f t="shared" si="32"/>
        <v>106.94423483043229</v>
      </c>
      <c r="AR72" s="10">
        <f t="shared" si="33"/>
        <v>27.820992125907228</v>
      </c>
      <c r="AS72" s="10">
        <f t="shared" si="34"/>
        <v>61.351639528867381</v>
      </c>
      <c r="AT72" s="10">
        <f t="shared" si="35"/>
        <v>58.219534236470622</v>
      </c>
    </row>
    <row r="73" spans="25:46" x14ac:dyDescent="0.35">
      <c r="Y73" s="10">
        <v>71</v>
      </c>
      <c r="Z73" s="10">
        <f t="shared" si="26"/>
        <v>134.89628825916537</v>
      </c>
      <c r="AA73" s="10" t="str">
        <f t="shared" si="27"/>
        <v>847,57837638305i</v>
      </c>
      <c r="AC73" s="10">
        <f>1/(2*$T$3+$T$6*$T$2/('4. Boost Inductor'!$B$11*$T$3^2)*($T$5))</f>
        <v>0.32865720058048542</v>
      </c>
      <c r="AD73" s="10" t="str">
        <f t="shared" si="22"/>
        <v>0,400733380337603-0,486984237657735i</v>
      </c>
      <c r="AE73" s="10" t="str">
        <f t="shared" si="23"/>
        <v>0,999998158118577-0,00189039765031443i</v>
      </c>
      <c r="AF73" s="10" t="str">
        <f t="shared" si="28"/>
        <v>28,9082438870462-35,2659019337889i</v>
      </c>
      <c r="AG73" s="10">
        <f t="shared" si="18"/>
        <v>45.60011407701257</v>
      </c>
      <c r="AH73" s="10">
        <f t="shared" si="19"/>
        <v>-0.88414478842539768</v>
      </c>
      <c r="AI73" s="10">
        <f t="shared" si="20"/>
        <v>-50.657764855262407</v>
      </c>
      <c r="AJ73" s="10">
        <f t="shared" si="21"/>
        <v>33.179318582654965</v>
      </c>
      <c r="AL73" s="10" t="str">
        <f t="shared" si="24"/>
        <v>0,0203987617501283-0,055818480500061i</v>
      </c>
      <c r="AM73" s="10" t="str">
        <f t="shared" si="25"/>
        <v>0,998135638109553-0,0429275021659637i</v>
      </c>
      <c r="AN73" s="10" t="str">
        <f t="shared" si="29"/>
        <v>-6,98691745401421+22,0094300265i</v>
      </c>
      <c r="AO73" s="10">
        <f t="shared" si="30"/>
        <v>23.091817286662568</v>
      </c>
      <c r="AP73" s="10">
        <f t="shared" si="31"/>
        <v>1.8781854131949027</v>
      </c>
      <c r="AQ73" s="10">
        <f t="shared" si="32"/>
        <v>107.61209731910257</v>
      </c>
      <c r="AR73" s="10">
        <f t="shared" si="33"/>
        <v>27.269162249952835</v>
      </c>
      <c r="AS73" s="10">
        <f t="shared" si="34"/>
        <v>60.4484808326078</v>
      </c>
      <c r="AT73" s="10">
        <f t="shared" si="35"/>
        <v>56.954332463840167</v>
      </c>
    </row>
    <row r="74" spans="25:46" x14ac:dyDescent="0.35">
      <c r="Y74" s="10">
        <v>72</v>
      </c>
      <c r="Z74" s="10">
        <f t="shared" si="26"/>
        <v>144.54397707459273</v>
      </c>
      <c r="AA74" s="10" t="str">
        <f t="shared" si="27"/>
        <v>908,196592996384i</v>
      </c>
      <c r="AC74" s="10">
        <f>1/(2*$T$3+$T$6*$T$2/('4. Boost Inductor'!$B$11*$T$3^2)*($T$5))</f>
        <v>0.32865720058048542</v>
      </c>
      <c r="AD74" s="10" t="str">
        <f t="shared" si="22"/>
        <v>0,368314577836724-0,479066355485971i</v>
      </c>
      <c r="AE74" s="10" t="str">
        <f t="shared" si="23"/>
        <v>0,999997885237465-0,00202559729464088i</v>
      </c>
      <c r="AF74" s="10" t="str">
        <f t="shared" si="28"/>
        <v>26,5606120167175-34,692563692398i</v>
      </c>
      <c r="AG74" s="10">
        <f t="shared" si="18"/>
        <v>43.69256328316856</v>
      </c>
      <c r="AH74" s="10">
        <f t="shared" si="19"/>
        <v>-0.9173860149039037</v>
      </c>
      <c r="AI74" s="10">
        <f t="shared" si="20"/>
        <v>-52.562346838319328</v>
      </c>
      <c r="AJ74" s="10">
        <f t="shared" si="21"/>
        <v>32.808150478572578</v>
      </c>
      <c r="AL74" s="10" t="str">
        <f t="shared" si="24"/>
        <v>0,0199895080854605-0,0521146001158832i</v>
      </c>
      <c r="AM74" s="10" t="str">
        <f t="shared" si="25"/>
        <v>0,997860023030771-0,0459848211093231i</v>
      </c>
      <c r="AN74" s="10" t="str">
        <f t="shared" si="29"/>
        <v>-6,82577214150896+20,5829252554943i</v>
      </c>
      <c r="AO74" s="10">
        <f t="shared" si="30"/>
        <v>21.68520180678669</v>
      </c>
      <c r="AP74" s="10">
        <f t="shared" si="31"/>
        <v>1.891006823681928</v>
      </c>
      <c r="AQ74" s="10">
        <f t="shared" si="32"/>
        <v>108.34671002741389</v>
      </c>
      <c r="AR74" s="10">
        <f t="shared" si="33"/>
        <v>26.723269362682519</v>
      </c>
      <c r="AS74" s="10">
        <f t="shared" si="34"/>
        <v>59.531419841255101</v>
      </c>
      <c r="AT74" s="10">
        <f t="shared" si="35"/>
        <v>55.784363189094563</v>
      </c>
    </row>
    <row r="75" spans="25:46" x14ac:dyDescent="0.35">
      <c r="Y75" s="10">
        <v>73</v>
      </c>
      <c r="Z75" s="10">
        <f t="shared" si="26"/>
        <v>154.88166189124806</v>
      </c>
      <c r="AA75" s="10" t="str">
        <f t="shared" si="27"/>
        <v>973,150182346646i</v>
      </c>
      <c r="AC75" s="10">
        <f>1/(2*$T$3+$T$6*$T$2/('4. Boost Inductor'!$B$11*$T$3^2)*($T$5))</f>
        <v>0.32865720058048542</v>
      </c>
      <c r="AD75" s="10" t="str">
        <f t="shared" si="22"/>
        <v>0,337079821679141-0,469197895740036i</v>
      </c>
      <c r="AE75" s="10" t="str">
        <f t="shared" si="23"/>
        <v>0,999997571928121-0,0021704662586054i</v>
      </c>
      <c r="AF75" s="10" t="str">
        <f t="shared" si="28"/>
        <v>24,2987237340425-33,9779758596272i</v>
      </c>
      <c r="AG75" s="10">
        <f t="shared" si="18"/>
        <v>41.772369080777892</v>
      </c>
      <c r="AH75" s="10">
        <f t="shared" si="19"/>
        <v>-0.94998696123493787</v>
      </c>
      <c r="AI75" s="10">
        <f t="shared" si="20"/>
        <v>-54.430243471220081</v>
      </c>
      <c r="AJ75" s="10">
        <f t="shared" si="21"/>
        <v>32.417782131365392</v>
      </c>
      <c r="AL75" s="10" t="str">
        <f t="shared" si="24"/>
        <v>0,0196327843301998-0,0486538782568854i</v>
      </c>
      <c r="AM75" s="10" t="str">
        <f t="shared" si="25"/>
        <v>0,997543764072088-0,0492578533580553i</v>
      </c>
      <c r="AN75" s="10" t="str">
        <f t="shared" si="29"/>
        <v>-6,68487370274767+19,2524638169687i</v>
      </c>
      <c r="AO75" s="10">
        <f t="shared" si="30"/>
        <v>20.380012253317624</v>
      </c>
      <c r="AP75" s="10">
        <f t="shared" si="31"/>
        <v>1.9049939276002033</v>
      </c>
      <c r="AQ75" s="10">
        <f t="shared" si="32"/>
        <v>109.14811204954195</v>
      </c>
      <c r="AR75" s="10">
        <f t="shared" si="33"/>
        <v>26.184088815730654</v>
      </c>
      <c r="AS75" s="10">
        <f t="shared" si="34"/>
        <v>58.601870947096046</v>
      </c>
      <c r="AT75" s="10">
        <f t="shared" si="35"/>
        <v>54.71786857832187</v>
      </c>
    </row>
    <row r="76" spans="25:46" x14ac:dyDescent="0.35">
      <c r="Y76" s="10">
        <v>74</v>
      </c>
      <c r="Z76" s="10">
        <f t="shared" si="26"/>
        <v>165.95869074375608</v>
      </c>
      <c r="AA76" s="10" t="str">
        <f t="shared" si="27"/>
        <v>1042,74920727993i</v>
      </c>
      <c r="AC76" s="10">
        <f>1/(2*$T$3+$T$6*$T$2/('4. Boost Inductor'!$B$11*$T$3^2)*($T$5))</f>
        <v>0.32865720058048542</v>
      </c>
      <c r="AD76" s="10" t="str">
        <f t="shared" si="22"/>
        <v>0,307245467490407-0,457587543099952i</v>
      </c>
      <c r="AE76" s="10" t="str">
        <f t="shared" si="23"/>
        <v>0,999997212200987-0,00232569607026493i</v>
      </c>
      <c r="AF76" s="10" t="str">
        <f t="shared" si="28"/>
        <v>22,1382465913541-33,1372507026458i</v>
      </c>
      <c r="AG76" s="10">
        <f t="shared" si="18"/>
        <v>39.851967909622743</v>
      </c>
      <c r="AH76" s="10">
        <f t="shared" si="19"/>
        <v>-0.98181773301264641</v>
      </c>
      <c r="AI76" s="10">
        <f t="shared" si="20"/>
        <v>-56.254012352726917</v>
      </c>
      <c r="AJ76" s="10">
        <f t="shared" si="21"/>
        <v>32.008995438701902</v>
      </c>
      <c r="AL76" s="10" t="str">
        <f t="shared" si="24"/>
        <v>0,0193218792688708-0,0454208409342352i</v>
      </c>
      <c r="AM76" s="10" t="str">
        <f t="shared" si="25"/>
        <v>0,997180899761372-0,0527613525468893i</v>
      </c>
      <c r="AN76" s="10" t="str">
        <f t="shared" si="29"/>
        <v>-6,56157128133777+18,0120974776865i</v>
      </c>
      <c r="AO76" s="10">
        <f t="shared" si="30"/>
        <v>19.170025384066577</v>
      </c>
      <c r="AP76" s="10">
        <f t="shared" si="31"/>
        <v>1.9201417779184375</v>
      </c>
      <c r="AQ76" s="10">
        <f t="shared" si="32"/>
        <v>110.01601994147269</v>
      </c>
      <c r="AR76" s="10">
        <f t="shared" si="33"/>
        <v>25.652453759024731</v>
      </c>
      <c r="AS76" s="10">
        <f t="shared" si="34"/>
        <v>57.661449197726633</v>
      </c>
      <c r="AT76" s="10">
        <f t="shared" si="35"/>
        <v>53.762007588745774</v>
      </c>
    </row>
    <row r="77" spans="25:46" x14ac:dyDescent="0.35">
      <c r="Y77" s="10">
        <v>75</v>
      </c>
      <c r="Z77" s="10">
        <f t="shared" si="26"/>
        <v>177.82794100389225</v>
      </c>
      <c r="AA77" s="10" t="str">
        <f t="shared" si="27"/>
        <v>1117,32590612165i</v>
      </c>
      <c r="AC77" s="10">
        <f>1/(2*$T$3+$T$6*$T$2/('4. Boost Inductor'!$B$11*$T$3^2)*($T$5))</f>
        <v>0.32865720058048542</v>
      </c>
      <c r="AD77" s="10" t="str">
        <f t="shared" si="22"/>
        <v>0,278983620987724-0,444467435926456i</v>
      </c>
      <c r="AE77" s="10" t="str">
        <f t="shared" si="23"/>
        <v>0,999996799179136-0,00249202771183643i</v>
      </c>
      <c r="AF77" s="10" t="str">
        <f t="shared" si="28"/>
        <v>20,0916437505641-32,1871989194593i</v>
      </c>
      <c r="AG77" s="10">
        <f t="shared" si="18"/>
        <v>37.943246077272086</v>
      </c>
      <c r="AH77" s="10">
        <f t="shared" si="19"/>
        <v>-1.0127636863462317</v>
      </c>
      <c r="AI77" s="10">
        <f t="shared" si="20"/>
        <v>-58.027084871750162</v>
      </c>
      <c r="AJ77" s="10">
        <f t="shared" si="21"/>
        <v>31.582689648154911</v>
      </c>
      <c r="AL77" s="10" t="str">
        <f t="shared" si="24"/>
        <v>0,0190509315671112-0,0424009066917361i</v>
      </c>
      <c r="AM77" s="10" t="str">
        <f t="shared" si="25"/>
        <v>0,996764604405766-0,0565109738667619i</v>
      </c>
      <c r="AN77" s="10" t="str">
        <f t="shared" si="29"/>
        <v>-6,45354040708159+16,8562311700345i</v>
      </c>
      <c r="AO77" s="10">
        <f t="shared" si="30"/>
        <v>18.049396473108942</v>
      </c>
      <c r="AP77" s="10">
        <f t="shared" si="31"/>
        <v>1.9364382105842268</v>
      </c>
      <c r="AQ77" s="10">
        <f t="shared" si="32"/>
        <v>110.94973675434154</v>
      </c>
      <c r="AR77" s="10">
        <f t="shared" si="33"/>
        <v>25.1292536951598</v>
      </c>
      <c r="AS77" s="10">
        <f t="shared" si="34"/>
        <v>56.711943343314715</v>
      </c>
      <c r="AT77" s="10">
        <f t="shared" si="35"/>
        <v>52.922651882591381</v>
      </c>
    </row>
    <row r="78" spans="25:46" x14ac:dyDescent="0.35">
      <c r="Y78" s="10">
        <v>76</v>
      </c>
      <c r="Z78" s="10">
        <f t="shared" si="26"/>
        <v>190.54607179632481</v>
      </c>
      <c r="AA78" s="10" t="str">
        <f t="shared" si="27"/>
        <v>1197,23627865145i</v>
      </c>
      <c r="AC78" s="10">
        <f>1/(2*$T$3+$T$6*$T$2/('4. Boost Inductor'!$B$11*$T$3^2)*($T$5))</f>
        <v>0.32865720058048542</v>
      </c>
      <c r="AD78" s="10" t="str">
        <f t="shared" si="22"/>
        <v>0,252420535468448-0,430082904836566i</v>
      </c>
      <c r="AE78" s="10" t="str">
        <f t="shared" si="23"/>
        <v>0,999996324966814-0,00267025515583064i</v>
      </c>
      <c r="AF78" s="10" t="str">
        <f t="shared" si="28"/>
        <v>18,1680579360574-31,1455865512729i</v>
      </c>
      <c r="AG78" s="10">
        <f t="shared" si="18"/>
        <v>36.057258503535309</v>
      </c>
      <c r="AH78" s="10">
        <f t="shared" si="19"/>
        <v>-1.0427266907330799</v>
      </c>
      <c r="AI78" s="10">
        <f t="shared" si="20"/>
        <v>-59.74383856464852</v>
      </c>
      <c r="AJ78" s="10">
        <f t="shared" si="21"/>
        <v>31.139854069442599</v>
      </c>
      <c r="AL78" s="10" t="str">
        <f t="shared" si="24"/>
        <v>0,0188148239687906-0,0395803529501614i</v>
      </c>
      <c r="AM78" s="10" t="str">
        <f t="shared" si="25"/>
        <v>0,996287066035887-0,0605233038240722i</v>
      </c>
      <c r="AN78" s="10" t="str">
        <f t="shared" si="29"/>
        <v>-6,35874104362849+15,7796100413235i</v>
      </c>
      <c r="AO78" s="10">
        <f t="shared" si="30"/>
        <v>17.012632974238965</v>
      </c>
      <c r="AP78" s="10">
        <f t="shared" si="31"/>
        <v>1.9538621457137646</v>
      </c>
      <c r="AQ78" s="10">
        <f t="shared" si="32"/>
        <v>111.94805469977379</v>
      </c>
      <c r="AR78" s="10">
        <f t="shared" si="33"/>
        <v>24.615430655193315</v>
      </c>
      <c r="AS78" s="10">
        <f t="shared" si="34"/>
        <v>55.755284724635914</v>
      </c>
      <c r="AT78" s="10">
        <f t="shared" si="35"/>
        <v>52.204216135125272</v>
      </c>
    </row>
    <row r="79" spans="25:46" x14ac:dyDescent="0.35">
      <c r="Y79" s="10">
        <v>77</v>
      </c>
      <c r="Z79" s="10">
        <f t="shared" si="26"/>
        <v>204.17379446695278</v>
      </c>
      <c r="AA79" s="10" t="str">
        <f t="shared" si="27"/>
        <v>1282,86178550586i</v>
      </c>
      <c r="AC79" s="10">
        <f>1/(2*$T$3+$T$6*$T$2/('4. Boost Inductor'!$B$11*$T$3^2)*($T$5))</f>
        <v>0.32865720058048542</v>
      </c>
      <c r="AD79" s="10" t="str">
        <f t="shared" si="22"/>
        <v>0,22763749580517-0,414682777932808i</v>
      </c>
      <c r="AE79" s="10" t="str">
        <f t="shared" si="23"/>
        <v>0,9999957804985-0,0028612291539047i</v>
      </c>
      <c r="AF79" s="10" t="str">
        <f t="shared" si="28"/>
        <v>16,3733754498092-30,0304329295802i</v>
      </c>
      <c r="AG79" s="10">
        <f t="shared" si="18"/>
        <v>34.204010372446525</v>
      </c>
      <c r="AH79" s="10">
        <f t="shared" si="19"/>
        <v>-1.0716256947750873</v>
      </c>
      <c r="AI79" s="10">
        <f t="shared" si="20"/>
        <v>-61.399629528387059</v>
      </c>
      <c r="AJ79" s="10">
        <f t="shared" si="21"/>
        <v>30.68154058926012</v>
      </c>
      <c r="AL79" s="10" t="str">
        <f t="shared" si="24"/>
        <v>0,0186090902219926-0,0369462798460349i</v>
      </c>
      <c r="AM79" s="10" t="str">
        <f t="shared" si="25"/>
        <v>0,995739348138625-0,0648158843998174i</v>
      </c>
      <c r="AN79" s="10" t="str">
        <f t="shared" si="29"/>
        <v>-6,27538050570303+14,7773054940254i</v>
      </c>
      <c r="AO79" s="10">
        <f t="shared" si="30"/>
        <v>16.054568139788465</v>
      </c>
      <c r="AP79" s="10">
        <f t="shared" si="31"/>
        <v>1.9723818199392864</v>
      </c>
      <c r="AQ79" s="10">
        <f t="shared" si="32"/>
        <v>113.0091538708534</v>
      </c>
      <c r="AR79" s="10">
        <f t="shared" si="33"/>
        <v>24.111972554912008</v>
      </c>
      <c r="AS79" s="10">
        <f t="shared" si="34"/>
        <v>54.793513144172124</v>
      </c>
      <c r="AT79" s="10">
        <f t="shared" si="35"/>
        <v>51.609524342466337</v>
      </c>
    </row>
    <row r="80" spans="25:46" x14ac:dyDescent="0.35">
      <c r="Y80" s="10">
        <v>78</v>
      </c>
      <c r="Z80" s="10">
        <f t="shared" si="26"/>
        <v>218.77616239495524</v>
      </c>
      <c r="AA80" s="10" t="str">
        <f t="shared" si="27"/>
        <v>1374,61116912112i</v>
      </c>
      <c r="AC80" s="10">
        <f>1/(2*$T$3+$T$6*$T$2/('4. Boost Inductor'!$B$11*$T$3^2)*($T$5))</f>
        <v>0.32865720058048542</v>
      </c>
      <c r="AD80" s="10" t="str">
        <f t="shared" si="22"/>
        <v>0,204673761178361-0,398510829518153i</v>
      </c>
      <c r="AE80" s="10" t="str">
        <f t="shared" si="23"/>
        <v>0,999995155365604-0,00306586129646629i</v>
      </c>
      <c r="AF80" s="10" t="str">
        <f t="shared" si="28"/>
        <v>14,7104392715145-28,8593914297046i</v>
      </c>
      <c r="AG80" s="10">
        <f t="shared" si="18"/>
        <v>32.392306142876329</v>
      </c>
      <c r="AH80" s="10">
        <f t="shared" si="19"/>
        <v>-1.0993966551688701</v>
      </c>
      <c r="AI80" s="10">
        <f t="shared" si="20"/>
        <v>-62.99078835197578</v>
      </c>
      <c r="AJ80" s="10">
        <f t="shared" si="21"/>
        <v>30.208837366793681</v>
      </c>
      <c r="AL80" s="10" t="str">
        <f t="shared" si="24"/>
        <v>0,0184298333113055-0,0344865725928318i</v>
      </c>
      <c r="AM80" s="10" t="str">
        <f t="shared" si="25"/>
        <v>0,995111233356144-0,0694072295364653i</v>
      </c>
      <c r="AN80" s="10" t="str">
        <f t="shared" si="29"/>
        <v>-6,20188068080388+13,8447006058242i</v>
      </c>
      <c r="AO80" s="10">
        <f t="shared" si="30"/>
        <v>15.170334829654795</v>
      </c>
      <c r="AP80" s="10">
        <f t="shared" si="31"/>
        <v>1.9919530099784544</v>
      </c>
      <c r="AQ80" s="10">
        <f t="shared" si="32"/>
        <v>114.13050046014619</v>
      </c>
      <c r="AR80" s="10">
        <f t="shared" si="33"/>
        <v>23.619903327094786</v>
      </c>
      <c r="AS80" s="10">
        <f t="shared" si="34"/>
        <v>53.828740693888463</v>
      </c>
      <c r="AT80" s="10">
        <f t="shared" si="35"/>
        <v>51.139712108170414</v>
      </c>
    </row>
    <row r="81" spans="25:46" x14ac:dyDescent="0.35">
      <c r="Y81" s="10">
        <v>79</v>
      </c>
      <c r="Z81" s="10">
        <f t="shared" si="26"/>
        <v>234.42288153199212</v>
      </c>
      <c r="AA81" s="10" t="str">
        <f t="shared" si="27"/>
        <v>1472,92240490851i</v>
      </c>
      <c r="AC81" s="10">
        <f>1/(2*$T$3+$T$6*$T$2/('4. Boost Inductor'!$B$11*$T$3^2)*($T$5))</f>
        <v>0.32865720058048542</v>
      </c>
      <c r="AD81" s="10" t="str">
        <f t="shared" si="22"/>
        <v>0,183531033323504-0,381798747564953i</v>
      </c>
      <c r="AE81" s="10" t="str">
        <f t="shared" si="23"/>
        <v>0,999994437617493-0,00328512836234115i</v>
      </c>
      <c r="AF81" s="10" t="str">
        <f t="shared" si="28"/>
        <v>13,1793726299787-27,6492402061348i</v>
      </c>
      <c r="AG81" s="10">
        <f t="shared" si="18"/>
        <v>30.629664492063455</v>
      </c>
      <c r="AH81" s="10">
        <f t="shared" si="19"/>
        <v>-1.125991922540144</v>
      </c>
      <c r="AI81" s="10">
        <f t="shared" si="20"/>
        <v>-64.514584927371757</v>
      </c>
      <c r="AJ81" s="10">
        <f t="shared" si="21"/>
        <v>29.722844794085418</v>
      </c>
      <c r="AL81" s="10" t="str">
        <f t="shared" si="24"/>
        <v>0,0182736537053603-0,0321898631711531i</v>
      </c>
      <c r="AM81" s="10" t="str">
        <f t="shared" si="25"/>
        <v>0,994391047234857-0,0743168313906735i</v>
      </c>
      <c r="AN81" s="10" t="str">
        <f t="shared" si="29"/>
        <v>-6,13684904099565+12,9774752292162i</v>
      </c>
      <c r="AO81" s="10">
        <f t="shared" si="30"/>
        <v>14.355339754839985</v>
      </c>
      <c r="AP81" s="10">
        <f t="shared" si="31"/>
        <v>2.0125173262521434</v>
      </c>
      <c r="AQ81" s="10">
        <f t="shared" si="32"/>
        <v>115.30874899120077</v>
      </c>
      <c r="AR81" s="10">
        <f t="shared" si="33"/>
        <v>23.140269512277214</v>
      </c>
      <c r="AS81" s="10">
        <f t="shared" si="34"/>
        <v>52.863114306362633</v>
      </c>
      <c r="AT81" s="10">
        <f t="shared" si="35"/>
        <v>50.794164063829015</v>
      </c>
    </row>
    <row r="82" spans="25:46" x14ac:dyDescent="0.35">
      <c r="Y82" s="10">
        <v>80</v>
      </c>
      <c r="Z82" s="10">
        <f t="shared" si="26"/>
        <v>251.18864315095806</v>
      </c>
      <c r="AA82" s="10" t="str">
        <f t="shared" si="27"/>
        <v>1578,26479197648i</v>
      </c>
      <c r="AC82" s="10">
        <f>1/(2*$T$3+$T$6*$T$2/('4. Boost Inductor'!$B$11*$T$3^2)*($T$5))</f>
        <v>0.32865720058048542</v>
      </c>
      <c r="AD82" s="10" t="str">
        <f t="shared" si="22"/>
        <v>0,164178891230634-0,364760793939392i</v>
      </c>
      <c r="AE82" s="10" t="str">
        <f t="shared" si="23"/>
        <v>0,999993613533042-0,00352007697918568i</v>
      </c>
      <c r="AF82" s="10" t="str">
        <f t="shared" si="28"/>
        <v>11,7779725608735-26,4154955101083i</v>
      </c>
      <c r="AG82" s="10">
        <f t="shared" si="18"/>
        <v>28.922293143684872</v>
      </c>
      <c r="AH82" s="10">
        <f t="shared" si="19"/>
        <v>-1.1513791966672877</v>
      </c>
      <c r="AI82" s="10">
        <f t="shared" si="20"/>
        <v>-65.969168588198769</v>
      </c>
      <c r="AJ82" s="10">
        <f t="shared" si="21"/>
        <v>29.224654472426952</v>
      </c>
      <c r="AL82" s="10" t="str">
        <f t="shared" si="24"/>
        <v>0,0181375864552937-0,0300454919739813i</v>
      </c>
      <c r="AM82" s="10" t="str">
        <f t="shared" si="25"/>
        <v>0,993565460052396-0,079565153203785i</v>
      </c>
      <c r="AN82" s="10" t="str">
        <f t="shared" si="29"/>
        <v>-6,07905297950865+12,1715909966704i</v>
      </c>
      <c r="AO82" s="10">
        <f t="shared" si="30"/>
        <v>13.605238421942518</v>
      </c>
      <c r="AP82" s="10">
        <f t="shared" si="31"/>
        <v>2.0340006732680829</v>
      </c>
      <c r="AQ82" s="10">
        <f t="shared" si="32"/>
        <v>116.53965410502909</v>
      </c>
      <c r="AR82" s="10">
        <f t="shared" si="33"/>
        <v>22.674123137569797</v>
      </c>
      <c r="AS82" s="10">
        <f t="shared" si="34"/>
        <v>51.898777609996749</v>
      </c>
      <c r="AT82" s="10">
        <f t="shared" si="35"/>
        <v>50.570485516830317</v>
      </c>
    </row>
    <row r="83" spans="25:46" x14ac:dyDescent="0.35">
      <c r="Y83" s="10">
        <v>81</v>
      </c>
      <c r="Z83" s="10">
        <f t="shared" si="26"/>
        <v>269.15348039269156</v>
      </c>
      <c r="AA83" s="10" t="str">
        <f t="shared" si="27"/>
        <v>1691,14119337961i</v>
      </c>
      <c r="AC83" s="10">
        <f>1/(2*$T$3+$T$6*$T$2/('4. Boost Inductor'!$B$11*$T$3^2)*($T$5))</f>
        <v>0.32865720058048542</v>
      </c>
      <c r="AD83" s="10" t="str">
        <f t="shared" si="22"/>
        <v>0,146560671825119-0,347590156741835i</v>
      </c>
      <c r="AE83" s="10" t="str">
        <f t="shared" si="23"/>
        <v>0,999992667358343-0,00377182861679029i</v>
      </c>
      <c r="AF83" s="10" t="str">
        <f t="shared" si="28"/>
        <v>10,502135760546-25,172147543133i</v>
      </c>
      <c r="AG83" s="10">
        <f t="shared" si="18"/>
        <v>27.275114435437221</v>
      </c>
      <c r="AH83" s="10">
        <f t="shared" si="19"/>
        <v>-1.1755401694443925</v>
      </c>
      <c r="AI83" s="10">
        <f t="shared" si="20"/>
        <v>-67.353490357257343</v>
      </c>
      <c r="AJ83" s="10">
        <f t="shared" si="21"/>
        <v>28.715331627792121</v>
      </c>
      <c r="AL83" s="10" t="str">
        <f t="shared" si="24"/>
        <v>0,018019046099607-0,0280434698867352i</v>
      </c>
      <c r="AM83" s="10" t="str">
        <f t="shared" si="25"/>
        <v>0,992619264753018-0,0851736049449604i</v>
      </c>
      <c r="AN83" s="10" t="str">
        <f t="shared" si="29"/>
        <v>-6,02739705358095+11,4232763962809i</v>
      </c>
      <c r="AO83" s="10">
        <f t="shared" si="30"/>
        <v>12.915911073840075</v>
      </c>
      <c r="AP83" s="10">
        <f t="shared" si="31"/>
        <v>2.056311987955139</v>
      </c>
      <c r="AQ83" s="10">
        <f t="shared" si="32"/>
        <v>117.81799827198563</v>
      </c>
      <c r="AR83" s="10">
        <f t="shared" si="33"/>
        <v>22.222500924682748</v>
      </c>
      <c r="AS83" s="10">
        <f t="shared" si="34"/>
        <v>50.937832552474873</v>
      </c>
      <c r="AT83" s="10">
        <f t="shared" si="35"/>
        <v>50.464507914728287</v>
      </c>
    </row>
    <row r="84" spans="25:46" x14ac:dyDescent="0.35">
      <c r="Y84" s="10">
        <v>82</v>
      </c>
      <c r="Z84" s="10">
        <f t="shared" si="26"/>
        <v>288.4031503126605</v>
      </c>
      <c r="AA84" s="10" t="str">
        <f t="shared" si="27"/>
        <v>1812,09043658881i</v>
      </c>
      <c r="AC84" s="10">
        <f>1/(2*$T$3+$T$6*$T$2/('4. Boost Inductor'!$B$11*$T$3^2)*($T$5))</f>
        <v>0.32865720058048542</v>
      </c>
      <c r="AD84" s="10" t="str">
        <f t="shared" si="22"/>
        <v>0,130599358039889-0,33045686142347i</v>
      </c>
      <c r="AE84" s="10" t="str">
        <f t="shared" si="23"/>
        <v>0,999991581005553-0,00404158493698548i</v>
      </c>
      <c r="AF84" s="10" t="str">
        <f t="shared" si="28"/>
        <v>9,34628497507366-23,9315091905658i</v>
      </c>
      <c r="AG84" s="10">
        <f t="shared" si="18"/>
        <v>25.691830899595754</v>
      </c>
      <c r="AH84" s="10">
        <f t="shared" si="19"/>
        <v>-1.1984689690140602</v>
      </c>
      <c r="AI84" s="10">
        <f t="shared" si="20"/>
        <v>-68.667213801900687</v>
      </c>
      <c r="AJ84" s="10">
        <f t="shared" si="21"/>
        <v>28.1959010975947</v>
      </c>
      <c r="AL84" s="10" t="str">
        <f t="shared" si="24"/>
        <v>0,0179157784424119-0,0261744411635675i</v>
      </c>
      <c r="AM84" s="10" t="str">
        <f t="shared" si="25"/>
        <v>0,99153512910928-0,0911644970593122i</v>
      </c>
      <c r="AN84" s="10" t="str">
        <f t="shared" si="29"/>
        <v>-5,98090275895902+10,7290120320005i</v>
      </c>
      <c r="AO84" s="10">
        <f t="shared" si="30"/>
        <v>12.283439949579884</v>
      </c>
      <c r="AP84" s="10">
        <f t="shared" si="31"/>
        <v>2.0793423751106346</v>
      </c>
      <c r="AQ84" s="10">
        <f t="shared" si="32"/>
        <v>119.13754225654785</v>
      </c>
      <c r="AR84" s="10">
        <f t="shared" si="33"/>
        <v>21.786400140520279</v>
      </c>
      <c r="AS84" s="10">
        <f t="shared" si="34"/>
        <v>49.982301238114978</v>
      </c>
      <c r="AT84" s="10">
        <f t="shared" si="35"/>
        <v>50.470328454647159</v>
      </c>
    </row>
    <row r="85" spans="25:46" x14ac:dyDescent="0.35">
      <c r="Y85" s="10">
        <v>83</v>
      </c>
      <c r="Z85" s="10">
        <f t="shared" si="26"/>
        <v>309.02954325135909</v>
      </c>
      <c r="AA85" s="10" t="str">
        <f t="shared" si="27"/>
        <v>1941,68988564136i</v>
      </c>
      <c r="AC85" s="10">
        <f>1/(2*$T$3+$T$6*$T$2/('4. Boost Inductor'!$B$11*$T$3^2)*($T$5))</f>
        <v>0.32865720058048542</v>
      </c>
      <c r="AD85" s="10" t="str">
        <f t="shared" si="22"/>
        <v>0,116203139260806-0,313507021366928i</v>
      </c>
      <c r="AE85" s="10" t="str">
        <f t="shared" si="23"/>
        <v>0,999990333707135-0,00433063352553604i</v>
      </c>
      <c r="AF85" s="10" t="str">
        <f t="shared" si="28"/>
        <v>8,30377166396179-22,7041617535911i</v>
      </c>
      <c r="AG85" s="10">
        <f t="shared" si="18"/>
        <v>24.175019850673209</v>
      </c>
      <c r="AH85" s="10">
        <f t="shared" si="19"/>
        <v>-1.2201705059888872</v>
      </c>
      <c r="AI85" s="10">
        <f t="shared" si="20"/>
        <v>-69.91062027950538</v>
      </c>
      <c r="AJ85" s="10">
        <f t="shared" si="21"/>
        <v>27.667336787290484</v>
      </c>
      <c r="AL85" s="10" t="str">
        <f t="shared" si="24"/>
        <v>0,0178258183747095-0,0244296473662724i</v>
      </c>
      <c r="AM85" s="10" t="str">
        <f t="shared" si="25"/>
        <v>0,990293320435148-0,0975609666915095i</v>
      </c>
      <c r="AN85" s="10" t="str">
        <f t="shared" si="29"/>
        <v>-5,93869050268902+10,0855161399457i</v>
      </c>
      <c r="AO85" s="10">
        <f t="shared" si="30"/>
        <v>11.704088204376879</v>
      </c>
      <c r="AP85" s="10">
        <f t="shared" si="31"/>
        <v>2.102964757411879</v>
      </c>
      <c r="AQ85" s="10">
        <f t="shared" si="32"/>
        <v>120.49100506445367</v>
      </c>
      <c r="AR85" s="10">
        <f t="shared" si="33"/>
        <v>21.366751721213532</v>
      </c>
      <c r="AS85" s="10">
        <f t="shared" si="34"/>
        <v>49.034088508504013</v>
      </c>
      <c r="AT85" s="10">
        <f t="shared" si="35"/>
        <v>50.580384784948293</v>
      </c>
    </row>
    <row r="86" spans="25:46" x14ac:dyDescent="0.35">
      <c r="Y86" s="10">
        <v>84</v>
      </c>
      <c r="Z86" s="10">
        <f t="shared" si="26"/>
        <v>331.13112148259108</v>
      </c>
      <c r="AA86" s="10" t="str">
        <f t="shared" si="27"/>
        <v>2080,55819724932i</v>
      </c>
      <c r="AC86" s="10">
        <f>1/(2*$T$3+$T$6*$T$2/('4. Boost Inductor'!$B$11*$T$3^2)*($T$5))</f>
        <v>0.32865720058048542</v>
      </c>
      <c r="AD86" s="10" t="str">
        <f t="shared" si="22"/>
        <v>0,103270416157599-0,296863166080391i</v>
      </c>
      <c r="AE86" s="10" t="str">
        <f t="shared" si="23"/>
        <v>0,999988901618879-0,00464035403319656i</v>
      </c>
      <c r="AF86" s="10" t="str">
        <f t="shared" si="28"/>
        <v>7,36723842859152-21,4989787175099i</v>
      </c>
      <c r="AG86" s="10">
        <f t="shared" si="18"/>
        <v>22.726246675587664</v>
      </c>
      <c r="AH86" s="10">
        <f t="shared" si="19"/>
        <v>-1.2406588057447714</v>
      </c>
      <c r="AI86" s="10">
        <f t="shared" si="20"/>
        <v>-71.084513384916463</v>
      </c>
      <c r="AJ86" s="10">
        <f t="shared" si="21"/>
        <v>27.130554325869479</v>
      </c>
      <c r="AL86" s="10" t="str">
        <f t="shared" si="24"/>
        <v>0,0177474530019705-0,0228008925560893i</v>
      </c>
      <c r="AM86" s="10" t="str">
        <f t="shared" si="25"/>
        <v>0,988871401548199-0,104386869642715i</v>
      </c>
      <c r="AN86" s="10" t="str">
        <f t="shared" si="29"/>
        <v>-5,89996347947292+9,48973039620846i</v>
      </c>
      <c r="AO86" s="10">
        <f t="shared" si="30"/>
        <v>11.174280829289954</v>
      </c>
      <c r="AP86" s="10">
        <f t="shared" si="31"/>
        <v>2.1270341433045883</v>
      </c>
      <c r="AQ86" s="10">
        <f t="shared" si="32"/>
        <v>121.87007929157764</v>
      </c>
      <c r="AR86" s="10">
        <f t="shared" si="33"/>
        <v>20.964391634877764</v>
      </c>
      <c r="AS86" s="10">
        <f t="shared" si="34"/>
        <v>48.094945960747239</v>
      </c>
      <c r="AT86" s="10">
        <f t="shared" si="35"/>
        <v>50.785565906661176</v>
      </c>
    </row>
    <row r="87" spans="25:46" x14ac:dyDescent="0.35">
      <c r="Y87" s="10">
        <v>85</v>
      </c>
      <c r="Z87" s="10">
        <f t="shared" si="26"/>
        <v>354.81338923357566</v>
      </c>
      <c r="AA87" s="10" t="str">
        <f t="shared" si="27"/>
        <v>2229,35827402299i</v>
      </c>
      <c r="AC87" s="10">
        <f>1/(2*$T$3+$T$6*$T$2/('4. Boost Inductor'!$B$11*$T$3^2)*($T$5))</f>
        <v>0.32865720058048542</v>
      </c>
      <c r="AD87" s="10" t="str">
        <f t="shared" si="22"/>
        <v>0,0916941194231215-0,280625377866984i</v>
      </c>
      <c r="AE87" s="10" t="str">
        <f t="shared" si="23"/>
        <v>0,99998725736412-0,00497222475501263i</v>
      </c>
      <c r="AF87" s="10" t="str">
        <f t="shared" si="28"/>
        <v>6,52893175680872-20,3232080665025i</v>
      </c>
      <c r="AG87" s="10">
        <f t="shared" si="18"/>
        <v>21.346187856369522</v>
      </c>
      <c r="AH87" s="10">
        <f t="shared" si="19"/>
        <v>-1.2599553921598836</v>
      </c>
      <c r="AI87" s="10">
        <f t="shared" si="20"/>
        <v>-72.190126345511857</v>
      </c>
      <c r="AJ87" s="10">
        <f t="shared" si="21"/>
        <v>26.586406542005378</v>
      </c>
      <c r="AL87" s="10" t="str">
        <f t="shared" si="24"/>
        <v>0,0176791894260419-0,0212805098681653i</v>
      </c>
      <c r="AM87" s="10" t="str">
        <f t="shared" si="25"/>
        <v>0,987243897273765-0,111666630048744i</v>
      </c>
      <c r="AN87" s="10" t="str">
        <f t="shared" si="29"/>
        <v>-5,86399319333096+8,93880602070722i</v>
      </c>
      <c r="AO87" s="10">
        <f t="shared" si="30"/>
        <v>10.690587881274979</v>
      </c>
      <c r="AP87" s="10">
        <f t="shared" si="31"/>
        <v>2.1513885879812635</v>
      </c>
      <c r="AQ87" s="10">
        <f t="shared" si="32"/>
        <v>123.26548618393599</v>
      </c>
      <c r="AR87" s="10">
        <f t="shared" si="33"/>
        <v>20.580031759131018</v>
      </c>
      <c r="AS87" s="10">
        <f t="shared" si="34"/>
        <v>47.166438301136395</v>
      </c>
      <c r="AT87" s="10">
        <f t="shared" si="35"/>
        <v>51.075359838424134</v>
      </c>
    </row>
    <row r="88" spans="25:46" x14ac:dyDescent="0.35">
      <c r="Y88" s="10">
        <v>86</v>
      </c>
      <c r="Z88" s="10">
        <f t="shared" si="26"/>
        <v>380.18939632056095</v>
      </c>
      <c r="AA88" s="10" t="str">
        <f t="shared" si="27"/>
        <v>2388,80042890683i</v>
      </c>
      <c r="AC88" s="10">
        <f>1/(2*$T$3+$T$6*$T$2/('4. Boost Inductor'!$B$11*$T$3^2)*($T$5))</f>
        <v>0.32865720058048542</v>
      </c>
      <c r="AD88" s="10" t="str">
        <f t="shared" si="22"/>
        <v>0,0813652924432769-0,264872985676019i</v>
      </c>
      <c r="AE88" s="10" t="str">
        <f t="shared" si="23"/>
        <v>0,999985369510438-0,00532782967898907i</v>
      </c>
      <c r="AF88" s="10" t="str">
        <f t="shared" si="28"/>
        <v>5,78096146448207-19,1825949472745i</v>
      </c>
      <c r="AG88" s="10">
        <f t="shared" si="18"/>
        <v>20.034756408926658</v>
      </c>
      <c r="AH88" s="10">
        <f t="shared" si="19"/>
        <v>-1.2780877699899029</v>
      </c>
      <c r="AI88" s="10">
        <f t="shared" si="20"/>
        <v>-73.229035067708551</v>
      </c>
      <c r="AJ88" s="10">
        <f t="shared" si="21"/>
        <v>26.035681329282916</v>
      </c>
      <c r="AL88" s="10" t="str">
        <f t="shared" si="24"/>
        <v>0,0176197266056947-0,0198613295506006i</v>
      </c>
      <c r="AM88" s="10" t="str">
        <f t="shared" si="25"/>
        <v>0,985381931673676-0,119425038341882i</v>
      </c>
      <c r="AN88" s="10" t="str">
        <f t="shared" si="29"/>
        <v>-5,83010640117046+8,43009015477087i</v>
      </c>
      <c r="AO88" s="10">
        <f t="shared" si="30"/>
        <v>10.249710272321531</v>
      </c>
      <c r="AP88" s="10">
        <f t="shared" si="31"/>
        <v>2.1758508810106645</v>
      </c>
      <c r="AQ88" s="10">
        <f t="shared" si="32"/>
        <v>124.66707233173295</v>
      </c>
      <c r="AR88" s="10">
        <f t="shared" si="33"/>
        <v>20.214231788010348</v>
      </c>
      <c r="AS88" s="10">
        <f t="shared" si="34"/>
        <v>46.249913117293261</v>
      </c>
      <c r="AT88" s="10">
        <f t="shared" si="35"/>
        <v>51.438037264024402</v>
      </c>
    </row>
    <row r="89" spans="25:46" x14ac:dyDescent="0.35">
      <c r="Y89" s="10">
        <v>87</v>
      </c>
      <c r="Z89" s="10">
        <f t="shared" si="26"/>
        <v>407.38027780411232</v>
      </c>
      <c r="AA89" s="10" t="str">
        <f t="shared" si="27"/>
        <v>2559,64577593354i</v>
      </c>
      <c r="AC89" s="10">
        <f>1/(2*$T$3+$T$6*$T$2/('4. Boost Inductor'!$B$11*$T$3^2)*($T$5))</f>
        <v>0.32865720058048542</v>
      </c>
      <c r="AD89" s="10" t="str">
        <f t="shared" si="22"/>
        <v>0,0721759485829515-0,249666597977276i</v>
      </c>
      <c r="AE89" s="10" t="str">
        <f t="shared" si="23"/>
        <v>0,999983201968841-0,00570886603742284i</v>
      </c>
      <c r="AF89" s="10" t="str">
        <f t="shared" si="28"/>
        <v>5,1155076078142-18,0815288834611i</v>
      </c>
      <c r="AG89" s="10">
        <f t="shared" si="18"/>
        <v>18.791224144505406</v>
      </c>
      <c r="AH89" s="10">
        <f t="shared" si="19"/>
        <v>-1.2950880367099884</v>
      </c>
      <c r="AI89" s="10">
        <f t="shared" si="20"/>
        <v>-74.203078601366158</v>
      </c>
      <c r="AJ89" s="10">
        <f t="shared" si="21"/>
        <v>25.479101458196457</v>
      </c>
      <c r="AL89" s="10" t="str">
        <f t="shared" si="24"/>
        <v>0,0175679307884344-0,0185366485124633i</v>
      </c>
      <c r="AM89" s="10" t="str">
        <f t="shared" si="25"/>
        <v>0,983252837455238-0,127686986493116i</v>
      </c>
      <c r="AN89" s="10" t="str">
        <f t="shared" si="29"/>
        <v>-5,79767328881054+7,96111246650771i</v>
      </c>
      <c r="AO89" s="10">
        <f t="shared" si="30"/>
        <v>9.8484682701510344</v>
      </c>
      <c r="AP89" s="10">
        <f t="shared" si="31"/>
        <v>2.2002309418426091</v>
      </c>
      <c r="AQ89" s="10">
        <f t="shared" si="32"/>
        <v>126.06394692167559</v>
      </c>
      <c r="AR89" s="10">
        <f t="shared" si="33"/>
        <v>19.867373800714905</v>
      </c>
      <c r="AS89" s="10">
        <f t="shared" si="34"/>
        <v>45.346475258911362</v>
      </c>
      <c r="AT89" s="10">
        <f t="shared" si="35"/>
        <v>51.860868320309436</v>
      </c>
    </row>
    <row r="90" spans="25:46" x14ac:dyDescent="0.35">
      <c r="Y90" s="10">
        <v>88</v>
      </c>
      <c r="Z90" s="10">
        <f t="shared" si="26"/>
        <v>436.51583224016542</v>
      </c>
      <c r="AA90" s="10" t="str">
        <f t="shared" si="27"/>
        <v>2742,70986348268i</v>
      </c>
      <c r="AC90" s="10">
        <f>1/(2*$T$3+$T$6*$T$2/('4. Boost Inductor'!$B$11*$T$3^2)*($T$5))</f>
        <v>0.32865720058048542</v>
      </c>
      <c r="AD90" s="10" t="str">
        <f t="shared" si="22"/>
        <v>0,064021255135931-0,235050296671395i</v>
      </c>
      <c r="AE90" s="10" t="str">
        <f t="shared" si="23"/>
        <v>0,999980713303968-0,00611715239651677i</v>
      </c>
      <c r="AF90" s="10" t="str">
        <f t="shared" si="28"/>
        <v>4,52497863549531-17,0232026517462i</v>
      </c>
      <c r="AG90" s="10">
        <f t="shared" si="18"/>
        <v>17.61433677928601</v>
      </c>
      <c r="AH90" s="10">
        <f t="shared" si="19"/>
        <v>-1.3109916408809414</v>
      </c>
      <c r="AI90" s="10">
        <f t="shared" si="20"/>
        <v>-75.114287999408418</v>
      </c>
      <c r="AJ90" s="10">
        <f t="shared" si="21"/>
        <v>24.917325912571894</v>
      </c>
      <c r="AL90" s="10" t="str">
        <f t="shared" si="24"/>
        <v>0,0175228140671299-0,0173002013959717i</v>
      </c>
      <c r="AM90" s="10" t="str">
        <f t="shared" si="25"/>
        <v>0,980819740778753-0,136477127861306i</v>
      </c>
      <c r="AN90" s="10" t="str">
        <f t="shared" si="29"/>
        <v>-5,76609672390163+7,5295719170348i</v>
      </c>
      <c r="AO90" s="10">
        <f t="shared" si="30"/>
        <v>9.4837927372538147</v>
      </c>
      <c r="AP90" s="10">
        <f t="shared" si="31"/>
        <v>2.2243288467653253</v>
      </c>
      <c r="AQ90" s="10">
        <f t="shared" si="32"/>
        <v>127.44465516885475</v>
      </c>
      <c r="AR90" s="10">
        <f t="shared" si="33"/>
        <v>19.539641083156841</v>
      </c>
      <c r="AS90" s="10">
        <f t="shared" si="34"/>
        <v>44.456966995728735</v>
      </c>
      <c r="AT90" s="10">
        <f t="shared" si="35"/>
        <v>52.330367169446333</v>
      </c>
    </row>
    <row r="91" spans="25:46" x14ac:dyDescent="0.35">
      <c r="Y91" s="10">
        <v>89</v>
      </c>
      <c r="Z91" s="10">
        <f t="shared" si="26"/>
        <v>467.73514128719791</v>
      </c>
      <c r="AA91" s="10" t="str">
        <f t="shared" si="27"/>
        <v>2938,86656738729i</v>
      </c>
      <c r="AC91" s="10">
        <f>1/(2*$T$3+$T$6*$T$2/('4. Boost Inductor'!$B$11*$T$3^2)*($T$5))</f>
        <v>0.32865720058048542</v>
      </c>
      <c r="AD91" s="10" t="str">
        <f t="shared" si="22"/>
        <v>0,0568011206104402-0,221053855136171i</v>
      </c>
      <c r="AE91" s="10" t="str">
        <f t="shared" si="23"/>
        <v>0,999977855942107-0,0065546373223603i</v>
      </c>
      <c r="AF91" s="10" t="str">
        <f t="shared" si="28"/>
        <v>4,00212633292943-16,0097729059757i</v>
      </c>
      <c r="AG91" s="10">
        <f t="shared" si="18"/>
        <v>16.502419328257318</v>
      </c>
      <c r="AH91" s="10">
        <f t="shared" si="19"/>
        <v>-1.3258362931737335</v>
      </c>
      <c r="AI91" s="10">
        <f t="shared" si="20"/>
        <v>-75.964823924124616</v>
      </c>
      <c r="AJ91" s="10">
        <f t="shared" si="21"/>
        <v>24.350952367780646</v>
      </c>
      <c r="AL91" s="10" t="str">
        <f t="shared" si="24"/>
        <v>0,017483515669165-0,0161461331656086i</v>
      </c>
      <c r="AM91" s="10" t="str">
        <f t="shared" si="25"/>
        <v>0,978041127058957-0,145819447265821i</v>
      </c>
      <c r="AN91" s="10" t="str">
        <f t="shared" si="29"/>
        <v>-5,73480246495469+7,13332360206447i</v>
      </c>
      <c r="AO91" s="10">
        <f t="shared" si="30"/>
        <v>9.152718990760091</v>
      </c>
      <c r="AP91" s="10">
        <f t="shared" si="31"/>
        <v>2.2479383552449632</v>
      </c>
      <c r="AQ91" s="10">
        <f t="shared" si="32"/>
        <v>128.79738036111632</v>
      </c>
      <c r="AR91" s="10">
        <f t="shared" si="33"/>
        <v>19.231002574815513</v>
      </c>
      <c r="AS91" s="10">
        <f t="shared" si="34"/>
        <v>43.581954942596155</v>
      </c>
      <c r="AT91" s="10">
        <f t="shared" si="35"/>
        <v>52.832556436991709</v>
      </c>
    </row>
    <row r="92" spans="25:46" x14ac:dyDescent="0.35">
      <c r="Y92" s="10">
        <v>90</v>
      </c>
      <c r="Z92" s="10">
        <f t="shared" si="26"/>
        <v>501.18723362727184</v>
      </c>
      <c r="AA92" s="10" t="str">
        <f t="shared" si="27"/>
        <v>3149,05226247286i</v>
      </c>
      <c r="AC92" s="10">
        <f>1/(2*$T$3+$T$6*$T$2/('4. Boost Inductor'!$B$11*$T$3^2)*($T$5))</f>
        <v>0.32865720058048542</v>
      </c>
      <c r="AD92" s="10" t="str">
        <f t="shared" si="22"/>
        <v>0,0504212733778665-0,20769488150675i</v>
      </c>
      <c r="AE92" s="10" t="str">
        <f t="shared" si="23"/>
        <v>0,999974575261925-0,00702340866399299i</v>
      </c>
      <c r="AF92" s="10" t="str">
        <f t="shared" si="28"/>
        <v>3,54012393311009-15,0425153872154i</v>
      </c>
      <c r="AG92" s="10">
        <f t="shared" si="18"/>
        <v>15.453470375174337</v>
      </c>
      <c r="AH92" s="10">
        <f t="shared" si="19"/>
        <v>-1.3396610280271053</v>
      </c>
      <c r="AI92" s="10">
        <f t="shared" si="20"/>
        <v>-76.756922884110224</v>
      </c>
      <c r="AJ92" s="10">
        <f t="shared" si="21"/>
        <v>23.780520478510532</v>
      </c>
      <c r="AL92" s="10" t="str">
        <f t="shared" si="24"/>
        <v>0,0174492856338154-0,0150689731899142i</v>
      </c>
      <c r="AM92" s="10" t="str">
        <f t="shared" si="25"/>
        <v>0,974870396488544-0,155736725255857i</v>
      </c>
      <c r="AN92" s="10" t="str">
        <f t="shared" si="29"/>
        <v>-5,70323024241746+6,77036556726447i</v>
      </c>
      <c r="AO92" s="10">
        <f t="shared" si="30"/>
        <v>8.8523830188500909</v>
      </c>
      <c r="AP92" s="10">
        <f t="shared" si="31"/>
        <v>2.2708507579802633</v>
      </c>
      <c r="AQ92" s="10">
        <f t="shared" si="32"/>
        <v>130.11016433635302</v>
      </c>
      <c r="AR92" s="10">
        <f t="shared" si="33"/>
        <v>18.941203928363333</v>
      </c>
      <c r="AS92" s="10">
        <f t="shared" si="34"/>
        <v>42.721724406873861</v>
      </c>
      <c r="AT92" s="10">
        <f t="shared" si="35"/>
        <v>53.353241452242798</v>
      </c>
    </row>
    <row r="93" spans="25:46" x14ac:dyDescent="0.35">
      <c r="Y93" s="10">
        <v>91</v>
      </c>
      <c r="Z93" s="10">
        <f t="shared" si="26"/>
        <v>537.03179637025255</v>
      </c>
      <c r="AA93" s="10" t="str">
        <f t="shared" si="27"/>
        <v>3374,27029244183i</v>
      </c>
      <c r="AC93" s="10">
        <f>1/(2*$T$3+$T$6*$T$2/('4. Boost Inductor'!$B$11*$T$3^2)*($T$5))</f>
        <v>0.32865720058048542</v>
      </c>
      <c r="AD93" s="10" t="str">
        <f t="shared" si="22"/>
        <v>0,0447939213895915-0,194980820992889i</v>
      </c>
      <c r="AE93" s="10" t="str">
        <f t="shared" si="23"/>
        <v>0,999970808550519-0,00752570349706203i</v>
      </c>
      <c r="AF93" s="10" t="str">
        <f t="shared" si="28"/>
        <v>3,13261389018926-14,1219699260737i</v>
      </c>
      <c r="AG93" s="10">
        <f t="shared" si="18"/>
        <v>14.465244705083169</v>
      </c>
      <c r="AH93" s="10">
        <f t="shared" si="19"/>
        <v>-1.3525054082167882</v>
      </c>
      <c r="AI93" s="10">
        <f t="shared" si="20"/>
        <v>-77.492851659440504</v>
      </c>
      <c r="AJ93" s="10">
        <f t="shared" si="21"/>
        <v>23.206515698039386</v>
      </c>
      <c r="AL93" s="10" t="str">
        <f t="shared" si="24"/>
        <v>0,0174194705759825-0,0140636107790525i</v>
      </c>
      <c r="AM93" s="10" t="str">
        <f t="shared" si="25"/>
        <v>0,971255422052798-0,16624987913492i</v>
      </c>
      <c r="AN93" s="10" t="str">
        <f t="shared" si="29"/>
        <v>-5,67082566750499+6,43882548274271i</v>
      </c>
      <c r="AO93" s="10">
        <f t="shared" si="30"/>
        <v>8.5800196589780793</v>
      </c>
      <c r="AP93" s="10">
        <f t="shared" si="31"/>
        <v>2.2928588406607888</v>
      </c>
      <c r="AQ93" s="10">
        <f t="shared" si="32"/>
        <v>131.37113458912211</v>
      </c>
      <c r="AR93" s="10">
        <f t="shared" si="33"/>
        <v>18.669765658549679</v>
      </c>
      <c r="AS93" s="10">
        <f t="shared" si="34"/>
        <v>41.876281356589061</v>
      </c>
      <c r="AT93" s="10">
        <f t="shared" si="35"/>
        <v>53.878282929681603</v>
      </c>
    </row>
    <row r="94" spans="25:46" x14ac:dyDescent="0.35">
      <c r="Y94" s="10">
        <v>92</v>
      </c>
      <c r="Z94" s="10">
        <f t="shared" si="26"/>
        <v>575.43993733715661</v>
      </c>
      <c r="AA94" s="10" t="str">
        <f t="shared" si="27"/>
        <v>3615,59575944116i</v>
      </c>
      <c r="AC94" s="10">
        <f>1/(2*$T$3+$T$6*$T$2/('4. Boost Inductor'!$B$11*$T$3^2)*($T$5))</f>
        <v>0.32865720058048542</v>
      </c>
      <c r="AD94" s="10" t="str">
        <f t="shared" si="22"/>
        <v>0,0398380778920542-0,182910777596929i</v>
      </c>
      <c r="AE94" s="10" t="str">
        <f t="shared" si="23"/>
        <v>0,999966483804877-0,00806391877455372i</v>
      </c>
      <c r="AF94" s="10" t="str">
        <f t="shared" si="28"/>
        <v>2,77373146601179-13,2480723670075i</v>
      </c>
      <c r="AG94" s="10">
        <f t="shared" si="18"/>
        <v>13.535324439665702</v>
      </c>
      <c r="AH94" s="10">
        <f t="shared" si="19"/>
        <v>-1.3644088609790135</v>
      </c>
      <c r="AI94" s="10">
        <f t="shared" si="20"/>
        <v>-78.17486926434934</v>
      </c>
      <c r="AJ94" s="10">
        <f t="shared" si="21"/>
        <v>22.629373404077761</v>
      </c>
      <c r="AL94" s="10" t="str">
        <f t="shared" si="24"/>
        <v>0,0173935012718528-0,0131252721320624i</v>
      </c>
      <c r="AM94" s="10" t="str">
        <f t="shared" si="25"/>
        <v>0,967138127905765-0,177377162348229i</v>
      </c>
      <c r="AN94" s="10" t="str">
        <f t="shared" si="29"/>
        <v>-5,63703296841345+6,13694705296225i</v>
      </c>
      <c r="AO94" s="10">
        <f t="shared" si="30"/>
        <v>8.3329622474749154</v>
      </c>
      <c r="AP94" s="10">
        <f t="shared" si="31"/>
        <v>2.3137607510929383</v>
      </c>
      <c r="AQ94" s="10">
        <f t="shared" si="32"/>
        <v>132.56872584064473</v>
      </c>
      <c r="AR94" s="10">
        <f t="shared" si="33"/>
        <v>18.415988285137917</v>
      </c>
      <c r="AS94" s="10">
        <f t="shared" si="34"/>
        <v>41.045361689215682</v>
      </c>
      <c r="AT94" s="10">
        <f t="shared" si="35"/>
        <v>54.393856576295391</v>
      </c>
    </row>
    <row r="95" spans="25:46" x14ac:dyDescent="0.35">
      <c r="Y95" s="10">
        <v>93</v>
      </c>
      <c r="Z95" s="10">
        <f t="shared" si="26"/>
        <v>616.59500186148216</v>
      </c>
      <c r="AA95" s="10" t="str">
        <f t="shared" si="27"/>
        <v>3874,18065617643i</v>
      </c>
      <c r="AC95" s="10">
        <f>1/(2*$T$3+$T$6*$T$2/('4. Boost Inductor'!$B$11*$T$3^2)*($T$5))</f>
        <v>0.32865720058048542</v>
      </c>
      <c r="AD95" s="10" t="str">
        <f t="shared" si="22"/>
        <v>0,0354796294792677-0,171477136072305i</v>
      </c>
      <c r="AE95" s="10" t="str">
        <f t="shared" si="23"/>
        <v>0,999961518355837-0,00864062273422678i</v>
      </c>
      <c r="AF95" s="10" t="str">
        <f t="shared" si="28"/>
        <v>2,45810965777007-12,4202720271265i</v>
      </c>
      <c r="AG95" s="10">
        <f t="shared" si="18"/>
        <v>12.661179262511196</v>
      </c>
      <c r="AH95" s="10">
        <f t="shared" si="19"/>
        <v>-1.3754101323270826</v>
      </c>
      <c r="AI95" s="10">
        <f t="shared" si="20"/>
        <v>-78.805195681871908</v>
      </c>
      <c r="AJ95" s="10">
        <f t="shared" si="21"/>
        <v>22.049483155253714</v>
      </c>
      <c r="AL95" s="10" t="str">
        <f t="shared" si="24"/>
        <v>0,0173708818350205-0,0122494986412918i</v>
      </c>
      <c r="AM95" s="10" t="str">
        <f t="shared" si="25"/>
        <v>0,962454112274701-0,189133203682209i</v>
      </c>
      <c r="AN95" s="10" t="str">
        <f t="shared" si="29"/>
        <v>-5,60128860259298+5,86307603497974i</v>
      </c>
      <c r="AO95" s="10">
        <f t="shared" si="30"/>
        <v>8.1086432034892102</v>
      </c>
      <c r="AP95" s="10">
        <f t="shared" si="31"/>
        <v>2.3333635742671088</v>
      </c>
      <c r="AQ95" s="10">
        <f t="shared" si="32"/>
        <v>133.69188487506597</v>
      </c>
      <c r="AR95" s="10">
        <f t="shared" si="33"/>
        <v>18.17896382026834</v>
      </c>
      <c r="AS95" s="10">
        <f t="shared" si="34"/>
        <v>40.228446975522054</v>
      </c>
      <c r="AT95" s="10">
        <f t="shared" si="35"/>
        <v>54.886689193194059</v>
      </c>
    </row>
    <row r="96" spans="25:46" x14ac:dyDescent="0.35">
      <c r="Y96" s="10">
        <v>94</v>
      </c>
      <c r="Z96" s="10">
        <f t="shared" si="26"/>
        <v>660.69344800759518</v>
      </c>
      <c r="AA96" s="10" t="str">
        <f t="shared" si="27"/>
        <v>4151,25936507114i</v>
      </c>
      <c r="AC96" s="10">
        <f>1/(2*$T$3+$T$6*$T$2/('4. Boost Inductor'!$B$11*$T$3^2)*($T$5))</f>
        <v>0.32865720058048542</v>
      </c>
      <c r="AD96" s="10" t="str">
        <f t="shared" si="22"/>
        <v>0,0316512124064154-0,160666979952407i</v>
      </c>
      <c r="AE96" s="10" t="str">
        <f t="shared" si="23"/>
        <v>0,999955817288299-0,00925856711570807i</v>
      </c>
      <c r="AF96" s="10" t="str">
        <f t="shared" si="28"/>
        <v>2,18087024067965-11,6376343875268i</v>
      </c>
      <c r="AG96" s="10">
        <f t="shared" si="18"/>
        <v>11.840216600401718</v>
      </c>
      <c r="AH96" s="10">
        <f t="shared" si="19"/>
        <v>-1.3855468454245166</v>
      </c>
      <c r="AI96" s="10">
        <f t="shared" si="20"/>
        <v>-79.385986560489854</v>
      </c>
      <c r="AJ96" s="10">
        <f t="shared" si="21"/>
        <v>21.467192945540067</v>
      </c>
      <c r="AL96" s="10" t="str">
        <f t="shared" si="24"/>
        <v>0,0173511802806022-0,0114321264972787i</v>
      </c>
      <c r="AM96" s="10" t="str">
        <f t="shared" si="25"/>
        <v>0,957132346636707-0,201527868799055i</v>
      </c>
      <c r="AN96" s="10" t="str">
        <f t="shared" si="29"/>
        <v>-5,56301584861521+5,61564574242293i</v>
      </c>
      <c r="AO96" s="10">
        <f t="shared" si="30"/>
        <v>7.904595020387621</v>
      </c>
      <c r="AP96" s="10">
        <f t="shared" si="31"/>
        <v>2.3514864574353558</v>
      </c>
      <c r="AQ96" s="10">
        <f t="shared" si="32"/>
        <v>134.73024959321518</v>
      </c>
      <c r="AR96" s="10">
        <f t="shared" si="33"/>
        <v>17.957592488738769</v>
      </c>
      <c r="AS96" s="10">
        <f t="shared" si="34"/>
        <v>39.424785434278832</v>
      </c>
      <c r="AT96" s="10">
        <f t="shared" si="35"/>
        <v>55.344263032725323</v>
      </c>
    </row>
    <row r="97" spans="25:46" x14ac:dyDescent="0.35">
      <c r="Y97" s="10">
        <v>95</v>
      </c>
      <c r="Z97" s="10">
        <f t="shared" si="26"/>
        <v>707.94578438413748</v>
      </c>
      <c r="AA97" s="10" t="str">
        <f t="shared" si="27"/>
        <v>4448,15455072214i</v>
      </c>
      <c r="AC97" s="10">
        <f>1/(2*$T$3+$T$6*$T$2/('4. Boost Inductor'!$B$11*$T$3^2)*($T$5))</f>
        <v>0.32865720058048542</v>
      </c>
      <c r="AD97" s="10" t="str">
        <f t="shared" si="22"/>
        <v>0,0282919522445319-0,150463311838799i</v>
      </c>
      <c r="AE97" s="10" t="str">
        <f t="shared" si="23"/>
        <v>0,999949271627506-0,00992070024373262i</v>
      </c>
      <c r="AF97" s="10" t="str">
        <f t="shared" si="28"/>
        <v>1,93760491432608-10,8989294653515i</v>
      </c>
      <c r="AG97" s="10">
        <f t="shared" si="18"/>
        <v>11.06982277612102</v>
      </c>
      <c r="AH97" s="10">
        <f t="shared" si="19"/>
        <v>-1.3948551489800323</v>
      </c>
      <c r="AI97" s="10">
        <f t="shared" si="20"/>
        <v>-79.919313068647526</v>
      </c>
      <c r="AJ97" s="10">
        <f t="shared" si="21"/>
        <v>20.882813360720238</v>
      </c>
      <c r="AL97" s="10" t="str">
        <f t="shared" si="24"/>
        <v>0,0173340203003373-0,0106692675348314i</v>
      </c>
      <c r="AM97" s="10" t="str">
        <f t="shared" si="25"/>
        <v>0,951094991763404-0,21456492950422i</v>
      </c>
      <c r="AN97" s="10" t="str">
        <f t="shared" si="29"/>
        <v>-5,52162054198367+5,39316192816878i</v>
      </c>
      <c r="AO97" s="10">
        <f t="shared" si="30"/>
        <v>7.7184512042964437</v>
      </c>
      <c r="AP97" s="10">
        <f t="shared" si="31"/>
        <v>2.367963179446368</v>
      </c>
      <c r="AQ97" s="10">
        <f t="shared" si="32"/>
        <v>135.6742962246565</v>
      </c>
      <c r="AR97" s="10">
        <f t="shared" si="33"/>
        <v>17.750603258245967</v>
      </c>
      <c r="AS97" s="10">
        <f t="shared" si="34"/>
        <v>38.633416618966208</v>
      </c>
      <c r="AT97" s="10">
        <f t="shared" si="35"/>
        <v>55.754983156008976</v>
      </c>
    </row>
    <row r="98" spans="25:46" x14ac:dyDescent="0.35">
      <c r="Y98" s="10">
        <v>96</v>
      </c>
      <c r="Z98" s="10">
        <f t="shared" si="26"/>
        <v>758.57757502918309</v>
      </c>
      <c r="AA98" s="10" t="str">
        <f t="shared" si="27"/>
        <v>4766,28347377928i</v>
      </c>
      <c r="AC98" s="10">
        <f>1/(2*$T$3+$T$6*$T$2/('4. Boost Inductor'!$B$11*$T$3^2)*($T$5))</f>
        <v>0.32865720058048542</v>
      </c>
      <c r="AD98" s="10" t="str">
        <f t="shared" si="22"/>
        <v>0,0253471115861651-0,140846088787479i</v>
      </c>
      <c r="AE98" s="10" t="str">
        <f t="shared" si="23"/>
        <v>0,999941756256811-0,0106301810377211i</v>
      </c>
      <c r="AF98" s="10" t="str">
        <f t="shared" si="28"/>
        <v>1,72434979037323-10,2027067963186i</v>
      </c>
      <c r="AG98" s="10">
        <f t="shared" si="18"/>
        <v>10.347396202485241</v>
      </c>
      <c r="AH98" s="10">
        <f t="shared" si="19"/>
        <v>-1.4033694423194989</v>
      </c>
      <c r="AI98" s="10">
        <f t="shared" si="20"/>
        <v>-80.407146142535311</v>
      </c>
      <c r="AJ98" s="10">
        <f t="shared" si="21"/>
        <v>20.296621571397498</v>
      </c>
      <c r="AL98" s="10" t="str">
        <f t="shared" si="24"/>
        <v>0,0173190740939991-0,00995729125988052i</v>
      </c>
      <c r="AM98" s="10" t="str">
        <f t="shared" si="25"/>
        <v>0,944257381196213-0,228240531524376i</v>
      </c>
      <c r="AN98" s="10" t="str">
        <f t="shared" si="29"/>
        <v>-5,47648818523396+5,19418696914876i</v>
      </c>
      <c r="AO98" s="10">
        <f t="shared" si="30"/>
        <v>7.5479468144311888</v>
      </c>
      <c r="AP98" s="10">
        <f t="shared" si="31"/>
        <v>2.3826441175971</v>
      </c>
      <c r="AQ98" s="10">
        <f t="shared" si="32"/>
        <v>136.51545201998604</v>
      </c>
      <c r="AR98" s="10">
        <f t="shared" si="33"/>
        <v>17.556576626147141</v>
      </c>
      <c r="AS98" s="10">
        <f t="shared" si="34"/>
        <v>37.853198197544643</v>
      </c>
      <c r="AT98" s="10">
        <f t="shared" si="35"/>
        <v>56.108305877450732</v>
      </c>
    </row>
    <row r="99" spans="25:46" x14ac:dyDescent="0.35">
      <c r="Y99" s="10">
        <v>97</v>
      </c>
      <c r="Z99" s="10">
        <f t="shared" si="26"/>
        <v>812.8305161640983</v>
      </c>
      <c r="AA99" s="10" t="str">
        <f t="shared" si="27"/>
        <v>5107,16475638946i</v>
      </c>
      <c r="AC99" s="10">
        <f>1/(2*$T$3+$T$6*$T$2/('4. Boost Inductor'!$B$11*$T$3^2)*($T$5))</f>
        <v>0.32865720058048542</v>
      </c>
      <c r="AD99" s="10" t="str">
        <f t="shared" si="22"/>
        <v>0,0227676811353759-0,131793089443019i</v>
      </c>
      <c r="AE99" s="10" t="str">
        <f t="shared" si="23"/>
        <v>0,999933127527191-0,0113903940117901i</v>
      </c>
      <c r="AF99" s="10" t="str">
        <f t="shared" si="28"/>
        <v>1,53755578031225-9,5473582334489i</v>
      </c>
      <c r="AG99" s="10">
        <f t="shared" si="18"/>
        <v>9.6703736750642726</v>
      </c>
      <c r="AH99" s="10">
        <f t="shared" si="19"/>
        <v>-1.4111221648423509</v>
      </c>
      <c r="AI99" s="10">
        <f t="shared" si="20"/>
        <v>-80.851344422830735</v>
      </c>
      <c r="AJ99" s="10">
        <f t="shared" si="21"/>
        <v>19.708865121542043</v>
      </c>
      <c r="AL99" s="10" t="str">
        <f t="shared" si="24"/>
        <v>0,0173060561220227-0,0092928079965299i</v>
      </c>
      <c r="AM99" s="10" t="str">
        <f t="shared" si="25"/>
        <v>0,936528233400912-0,242541460284943i</v>
      </c>
      <c r="AN99" s="10" t="str">
        <f t="shared" si="29"/>
        <v>-5,42698273173258+5,0173233267281i</v>
      </c>
      <c r="AO99" s="10">
        <f t="shared" si="30"/>
        <v>7.3909184094707445</v>
      </c>
      <c r="AP99" s="10">
        <f t="shared" si="31"/>
        <v>2.3953976229478871</v>
      </c>
      <c r="AQ99" s="10">
        <f t="shared" si="32"/>
        <v>137.24617405058365</v>
      </c>
      <c r="AR99" s="10">
        <f t="shared" si="33"/>
        <v>17.373968160001215</v>
      </c>
      <c r="AS99" s="10">
        <f t="shared" si="34"/>
        <v>37.082833281543259</v>
      </c>
      <c r="AT99" s="10">
        <f t="shared" si="35"/>
        <v>56.394829627752912</v>
      </c>
    </row>
    <row r="100" spans="25:46" x14ac:dyDescent="0.35">
      <c r="Y100" s="10">
        <v>98</v>
      </c>
      <c r="Z100" s="10">
        <f t="shared" si="26"/>
        <v>870.96358995608011</v>
      </c>
      <c r="AA100" s="10" t="str">
        <f t="shared" si="27"/>
        <v>5472,42563150043i</v>
      </c>
      <c r="AC100" s="10">
        <f>1/(2*$T$3+$T$6*$T$2/('4. Boost Inductor'!$B$11*$T$3^2)*($T$5))</f>
        <v>0.32865720058048542</v>
      </c>
      <c r="AD100" s="10" t="str">
        <f t="shared" si="22"/>
        <v>0,0205099413776546-0,123280631302827i</v>
      </c>
      <c r="AE100" s="10" t="str">
        <f t="shared" si="23"/>
        <v>0,999923220512913-0,0122049653333781i</v>
      </c>
      <c r="AF100" s="10" t="str">
        <f t="shared" si="28"/>
        <v>1,37405685262539-8,93116989317473i</v>
      </c>
      <c r="AG100" s="10">
        <f t="shared" si="18"/>
        <v>9.0362507653892337</v>
      </c>
      <c r="AH100" s="10">
        <f t="shared" si="19"/>
        <v>-1.4181436388151216</v>
      </c>
      <c r="AI100" s="10">
        <f t="shared" si="20"/>
        <v>-81.253645247431464</v>
      </c>
      <c r="AJ100" s="10">
        <f t="shared" si="21"/>
        <v>19.119765490813464</v>
      </c>
      <c r="AL100" s="10" t="str">
        <f t="shared" si="24"/>
        <v>0,0172947176613916-0,00867265309437609i</v>
      </c>
      <c r="AM100" s="10" t="str">
        <f t="shared" si="25"/>
        <v>0,927810164525154-0,257443217126606i</v>
      </c>
      <c r="AN100" s="10" t="str">
        <f t="shared" si="29"/>
        <v>-5,37244741062855+4,86119633079938i</v>
      </c>
      <c r="AO100" s="10">
        <f t="shared" si="30"/>
        <v>7.2453033716019624</v>
      </c>
      <c r="AP100" s="10">
        <f t="shared" si="31"/>
        <v>2.4061108644138365</v>
      </c>
      <c r="AQ100" s="10">
        <f t="shared" si="32"/>
        <v>137.8599975714871</v>
      </c>
      <c r="AR100" s="10">
        <f t="shared" si="33"/>
        <v>17.201131494844546</v>
      </c>
      <c r="AS100" s="10">
        <f t="shared" si="34"/>
        <v>36.32089698565801</v>
      </c>
      <c r="AT100" s="10">
        <f t="shared" si="35"/>
        <v>56.606352324055635</v>
      </c>
    </row>
    <row r="101" spans="25:46" x14ac:dyDescent="0.35">
      <c r="Y101" s="10">
        <v>99</v>
      </c>
      <c r="Z101" s="10">
        <f t="shared" si="26"/>
        <v>933.25430079699026</v>
      </c>
      <c r="AA101" s="10" t="str">
        <f t="shared" si="27"/>
        <v>5863,80971062981i</v>
      </c>
      <c r="AC101" s="10">
        <f>1/(2*$T$3+$T$6*$T$2/('4. Boost Inductor'!$B$11*$T$3^2)*($T$5))</f>
        <v>0.32865720058048542</v>
      </c>
      <c r="AD101" s="10" t="str">
        <f t="shared" si="22"/>
        <v>0,0185350151862783-0,115284156773726i</v>
      </c>
      <c r="AE101" s="10" t="str">
        <f t="shared" si="23"/>
        <v>0,999911845861034-0,0130777800129359i</v>
      </c>
      <c r="AF101" s="10" t="str">
        <f t="shared" si="28"/>
        <v>1,23103763348179-8,35236460029168i</v>
      </c>
      <c r="AG101" s="10">
        <f t="shared" si="18"/>
        <v>8.4425972349303766</v>
      </c>
      <c r="AH101" s="10">
        <f t="shared" si="19"/>
        <v>-1.4244619557729552</v>
      </c>
      <c r="AI101" s="10">
        <f t="shared" si="20"/>
        <v>-81.615658142741268</v>
      </c>
      <c r="AJ101" s="10">
        <f t="shared" si="21"/>
        <v>18.529521423698363</v>
      </c>
      <c r="AL101" s="10" t="str">
        <f t="shared" si="24"/>
        <v>0,0172848420618292-0,00809387213739711i</v>
      </c>
      <c r="AM101" s="10" t="str">
        <f t="shared" si="25"/>
        <v>0,918000583168515-0,272907936485681i</v>
      </c>
      <c r="AN101" s="10" t="str">
        <f t="shared" si="29"/>
        <v>-5,31220802078952+4,72443644017282i</v>
      </c>
      <c r="AO101" s="10">
        <f t="shared" si="30"/>
        <v>7.1091387476524428</v>
      </c>
      <c r="AP101" s="10">
        <f t="shared" si="31"/>
        <v>2.4146902381443756</v>
      </c>
      <c r="AQ101" s="10">
        <f t="shared" si="32"/>
        <v>138.3515594771124</v>
      </c>
      <c r="AR101" s="10">
        <f t="shared" si="33"/>
        <v>17.036339807006197</v>
      </c>
      <c r="AS101" s="10">
        <f t="shared" si="34"/>
        <v>35.565861230704556</v>
      </c>
      <c r="AT101" s="10">
        <f t="shared" si="35"/>
        <v>56.735901334371135</v>
      </c>
    </row>
    <row r="102" spans="25:46" x14ac:dyDescent="0.35">
      <c r="Y102" s="10">
        <v>100</v>
      </c>
      <c r="Z102" s="10">
        <f t="shared" si="26"/>
        <v>999.99999999999977</v>
      </c>
      <c r="AA102" s="10" t="str">
        <f t="shared" si="27"/>
        <v>6283,18530717958i</v>
      </c>
      <c r="AC102" s="10">
        <f>1/(2*$T$3+$T$6*$T$2/('4. Boost Inductor'!$B$11*$T$3^2)*($T$5))</f>
        <v>0.32865720058048542</v>
      </c>
      <c r="AD102" s="10" t="str">
        <f t="shared" si="22"/>
        <v>0,0168084261259463-0,107778706003166i</v>
      </c>
      <c r="AE102" s="10" t="str">
        <f t="shared" si="23"/>
        <v>0,999898786174695-0,0140130003015624i</v>
      </c>
      <c r="AF102" s="10" t="str">
        <f t="shared" si="28"/>
        <v>1,10600141986389-7,80913613397737i</v>
      </c>
      <c r="AG102" s="10">
        <f t="shared" si="18"/>
        <v>7.8870682956173246</v>
      </c>
      <c r="AH102" s="10">
        <f t="shared" si="19"/>
        <v>-1.4301028981088033</v>
      </c>
      <c r="AI102" s="10">
        <f t="shared" si="20"/>
        <v>-81.938860331062031</v>
      </c>
      <c r="AJ102" s="10">
        <f t="shared" si="21"/>
        <v>17.938312029608685</v>
      </c>
      <c r="AL102" s="10" t="str">
        <f t="shared" si="24"/>
        <v>0,017276240612458-0,00755370709737544i</v>
      </c>
      <c r="AM102" s="10" t="str">
        <f t="shared" si="25"/>
        <v>0,906993055138056-0,288882198510392i</v>
      </c>
      <c r="AN102" s="10" t="str">
        <f t="shared" si="29"/>
        <v>-5,24557916439754+4,60566127015172i</v>
      </c>
      <c r="AO102" s="10">
        <f t="shared" si="30"/>
        <v>6.9805598991296653</v>
      </c>
      <c r="AP102" s="10">
        <f t="shared" si="31"/>
        <v>2.4210614593885125</v>
      </c>
      <c r="AQ102" s="10">
        <f t="shared" si="32"/>
        <v>138.71660356474553</v>
      </c>
      <c r="AR102" s="10">
        <f t="shared" si="33"/>
        <v>16.877805161203625</v>
      </c>
      <c r="AS102" s="10">
        <f t="shared" si="34"/>
        <v>34.816117190812307</v>
      </c>
      <c r="AT102" s="10">
        <f t="shared" si="35"/>
        <v>56.777743233683495</v>
      </c>
    </row>
    <row r="103" spans="25:46" x14ac:dyDescent="0.35">
      <c r="Y103" s="10">
        <v>101</v>
      </c>
      <c r="Z103" s="10">
        <f t="shared" si="26"/>
        <v>1071.5193052376057</v>
      </c>
      <c r="AA103" s="10" t="str">
        <f t="shared" si="27"/>
        <v>6732,5543550282i</v>
      </c>
      <c r="AC103" s="10">
        <f>1/(2*$T$3+$T$6*$T$2/('4. Boost Inductor'!$B$11*$T$3^2)*($T$5))</f>
        <v>0.32865720058048542</v>
      </c>
      <c r="AD103" s="10" t="str">
        <f t="shared" si="22"/>
        <v>0,0152996727425355-0,100739293200757i</v>
      </c>
      <c r="AE103" s="10" t="str">
        <f t="shared" si="23"/>
        <v>0,999883791861302-0,0150150853780414i</v>
      </c>
      <c r="AF103" s="10" t="str">
        <f t="shared" si="28"/>
        <v>0,996739350177627-7,29967648538204i</v>
      </c>
      <c r="AG103" s="10">
        <f t="shared" si="18"/>
        <v>7.3674124442325066</v>
      </c>
      <c r="AH103" s="10">
        <f t="shared" si="19"/>
        <v>-1.4350898886788463</v>
      </c>
      <c r="AI103" s="10">
        <f t="shared" si="20"/>
        <v>-82.224593843197027</v>
      </c>
      <c r="AJ103" s="10">
        <f t="shared" si="21"/>
        <v>17.346299666244811</v>
      </c>
      <c r="AL103" s="10" t="str">
        <f t="shared" si="24"/>
        <v>0,0172687489405519-0,00704958337679559i</v>
      </c>
      <c r="AM103" s="10" t="str">
        <f t="shared" si="25"/>
        <v>0,894679227439232-0,305294821710002i</v>
      </c>
      <c r="AN103" s="10" t="str">
        <f t="shared" si="29"/>
        <v>-5,1718739026882+4,50345785212017i</v>
      </c>
      <c r="AO103" s="10">
        <f t="shared" si="30"/>
        <v>6.857799376704607</v>
      </c>
      <c r="AP103" s="10">
        <f t="shared" si="31"/>
        <v>2.4251694591491431</v>
      </c>
      <c r="AQ103" s="10">
        <f t="shared" si="32"/>
        <v>138.95197461327041</v>
      </c>
      <c r="AR103" s="10">
        <f t="shared" si="33"/>
        <v>16.723695515652594</v>
      </c>
      <c r="AS103" s="10">
        <f t="shared" si="34"/>
        <v>34.069995181897404</v>
      </c>
      <c r="AT103" s="10">
        <f t="shared" si="35"/>
        <v>56.727380770073381</v>
      </c>
    </row>
    <row r="104" spans="25:46" x14ac:dyDescent="0.35">
      <c r="Y104" s="10">
        <v>102</v>
      </c>
      <c r="Z104" s="10">
        <f t="shared" si="26"/>
        <v>1148.1536214968828</v>
      </c>
      <c r="AA104" s="10" t="str">
        <f t="shared" si="27"/>
        <v>7214,06196497425i</v>
      </c>
      <c r="AC104" s="10">
        <f>1/(2*$T$3+$T$6*$T$2/('4. Boost Inductor'!$B$11*$T$3^2)*($T$5))</f>
        <v>0.32865720058048542</v>
      </c>
      <c r="AD104" s="10" t="str">
        <f t="shared" si="22"/>
        <v>0,0139818256308442-0,0941412015839324i</v>
      </c>
      <c r="AE104" s="10" t="str">
        <f t="shared" si="23"/>
        <v>0,999866576366562-0,0160888124114245i</v>
      </c>
      <c r="AF104" s="10" t="str">
        <f t="shared" si="28"/>
        <v>0,901301224160697-6,82219722274292i</v>
      </c>
      <c r="AG104" s="10">
        <f t="shared" si="18"/>
        <v>6.8814765016437267</v>
      </c>
      <c r="AH104" s="10">
        <f t="shared" si="19"/>
        <v>-1.4394439624123458</v>
      </c>
      <c r="AI104" s="10">
        <f t="shared" si="20"/>
        <v>-82.474063891815319</v>
      </c>
      <c r="AJ104" s="10">
        <f t="shared" si="21"/>
        <v>16.753632624358644</v>
      </c>
      <c r="AL104" s="10" t="str">
        <f t="shared" si="24"/>
        <v>0,0172622238740271-0,0065790976883393i</v>
      </c>
      <c r="AM104" s="10" t="str">
        <f t="shared" si="25"/>
        <v>0,880951393752319-0,322054756104663i</v>
      </c>
      <c r="AN104" s="10" t="str">
        <f t="shared" si="29"/>
        <v>-5,090417279987+4,41636579702074i</v>
      </c>
      <c r="AO104" s="10">
        <f t="shared" si="30"/>
        <v>6.7391865189713283</v>
      </c>
      <c r="AP104" s="10">
        <f t="shared" si="31"/>
        <v>2.426978199089147</v>
      </c>
      <c r="AQ104" s="10">
        <f t="shared" si="32"/>
        <v>139.05560777806937</v>
      </c>
      <c r="AR104" s="10">
        <f t="shared" si="33"/>
        <v>16.572149528202825</v>
      </c>
      <c r="AS104" s="10">
        <f t="shared" si="34"/>
        <v>33.325782152561473</v>
      </c>
      <c r="AT104" s="10">
        <f t="shared" si="35"/>
        <v>56.581543886254053</v>
      </c>
    </row>
    <row r="105" spans="25:46" x14ac:dyDescent="0.35">
      <c r="Y105" s="10">
        <v>103</v>
      </c>
      <c r="Z105" s="10">
        <f t="shared" si="26"/>
        <v>1230.2687708123801</v>
      </c>
      <c r="AA105" s="10" t="str">
        <f t="shared" si="27"/>
        <v>7730,00666465024i</v>
      </c>
      <c r="AC105" s="10">
        <f>1/(2*$T$3+$T$6*$T$2/('4. Boost Inductor'!$B$11*$T$3^2)*($T$5))</f>
        <v>0.32865720058048542</v>
      </c>
      <c r="AD105" s="10" t="str">
        <f t="shared" si="22"/>
        <v>0,0128311513953677-0,0879602103748164i</v>
      </c>
      <c r="AE105" s="10" t="str">
        <f t="shared" si="23"/>
        <v>0,999846810703668-0,0172392990900735i</v>
      </c>
      <c r="AF105" s="10" t="str">
        <f t="shared" si="28"/>
        <v>0,817968270055026-6,37494593638168i</v>
      </c>
      <c r="AG105" s="10">
        <f t="shared" si="18"/>
        <v>6.4272083973219747</v>
      </c>
      <c r="AH105" s="10">
        <f t="shared" si="19"/>
        <v>-1.4431837549726669</v>
      </c>
      <c r="AI105" s="10">
        <f t="shared" si="20"/>
        <v>-82.688338221776149</v>
      </c>
      <c r="AJ105" s="10">
        <f t="shared" si="21"/>
        <v>16.16044763610957</v>
      </c>
      <c r="AL105" s="10" t="str">
        <f t="shared" si="24"/>
        <v>0,0172565407080622-0,00614000672041852i</v>
      </c>
      <c r="AM105" s="10" t="str">
        <f t="shared" si="25"/>
        <v>0,865705764900338-0,339049237365137i</v>
      </c>
      <c r="AN105" s="10" t="str">
        <f t="shared" si="29"/>
        <v>-5,00056405785774+4,34286226556014i</v>
      </c>
      <c r="AO105" s="10">
        <f t="shared" si="30"/>
        <v>6.623148311367097</v>
      </c>
      <c r="AP105" s="10">
        <f t="shared" si="31"/>
        <v>2.4264704979985439</v>
      </c>
      <c r="AQ105" s="10">
        <f t="shared" si="32"/>
        <v>139.02651864832362</v>
      </c>
      <c r="AR105" s="10">
        <f t="shared" si="33"/>
        <v>16.421289605202162</v>
      </c>
      <c r="AS105" s="10">
        <f t="shared" si="34"/>
        <v>32.581737241311728</v>
      </c>
      <c r="AT105" s="10">
        <f t="shared" si="35"/>
        <v>56.338180426547467</v>
      </c>
    </row>
    <row r="106" spans="25:46" x14ac:dyDescent="0.35">
      <c r="Y106" s="10">
        <v>104</v>
      </c>
      <c r="Z106" s="10">
        <f t="shared" si="26"/>
        <v>1318.2567385564053</v>
      </c>
      <c r="AA106" s="10" t="str">
        <f t="shared" si="27"/>
        <v>8282,85137078809i</v>
      </c>
      <c r="AC106" s="10">
        <f>1/(2*$T$3+$T$6*$T$2/('4. Boost Inductor'!$B$11*$T$3^2)*($T$5))</f>
        <v>0.32865720058048542</v>
      </c>
      <c r="AD106" s="10" t="str">
        <f t="shared" si="22"/>
        <v>0,0118267656151813-0,0821727655711431i</v>
      </c>
      <c r="AE106" s="10" t="str">
        <f t="shared" si="23"/>
        <v>0,999824117173634-0,0184720277128573i</v>
      </c>
      <c r="AF106" s="10" t="str">
        <f t="shared" si="28"/>
        <v>0,745228011887027-5,95621861253283i</v>
      </c>
      <c r="AG106" s="10">
        <f t="shared" si="18"/>
        <v>6.0026581570154072</v>
      </c>
      <c r="AH106" s="10">
        <f t="shared" si="19"/>
        <v>-1.4463255044722796</v>
      </c>
      <c r="AI106" s="10">
        <f t="shared" si="20"/>
        <v>-82.868347208391299</v>
      </c>
      <c r="AJ106" s="10">
        <f t="shared" si="21"/>
        <v>15.566872231938014</v>
      </c>
      <c r="AL106" s="10" t="str">
        <f t="shared" si="24"/>
        <v>0,0172515908238748-0,00573021654057358i</v>
      </c>
      <c r="AM106" s="10" t="str">
        <f t="shared" si="25"/>
        <v>0,848846473746848-0,356142403389852i</v>
      </c>
      <c r="AN106" s="10" t="str">
        <f t="shared" si="29"/>
        <v>-4,90172080832248+4,28134988435479i</v>
      </c>
      <c r="AO106" s="10">
        <f t="shared" si="30"/>
        <v>6.5082120213624233</v>
      </c>
      <c r="AP106" s="10">
        <f t="shared" si="31"/>
        <v>2.4236479346946753</v>
      </c>
      <c r="AQ106" s="10">
        <f t="shared" si="32"/>
        <v>138.86479768360346</v>
      </c>
      <c r="AR106" s="10">
        <f t="shared" si="33"/>
        <v>16.269233854589189</v>
      </c>
      <c r="AS106" s="10">
        <f t="shared" si="34"/>
        <v>31.836106086527202</v>
      </c>
      <c r="AT106" s="10">
        <f t="shared" si="35"/>
        <v>55.996450475212157</v>
      </c>
    </row>
    <row r="107" spans="25:46" x14ac:dyDescent="0.35">
      <c r="Y107" s="10">
        <v>105</v>
      </c>
      <c r="Z107" s="10">
        <f t="shared" si="26"/>
        <v>1412.5375446227531</v>
      </c>
      <c r="AA107" s="10" t="str">
        <f t="shared" si="27"/>
        <v>8875,23514621321i</v>
      </c>
      <c r="AC107" s="10">
        <f>1/(2*$T$3+$T$6*$T$2/('4. Boost Inductor'!$B$11*$T$3^2)*($T$5))</f>
        <v>0.32865720058048542</v>
      </c>
      <c r="AD107" s="10" t="str">
        <f t="shared" si="22"/>
        <v>0,0109503154604234-0,0767561045928394i</v>
      </c>
      <c r="AE107" s="10" t="str">
        <f t="shared" si="23"/>
        <v>0,999798062157432-0,019792870942934i</v>
      </c>
      <c r="AF107" s="10" t="str">
        <f t="shared" si="28"/>
        <v>0,681751283707878-5,56436866754923i</v>
      </c>
      <c r="AG107" s="10">
        <f t="shared" si="18"/>
        <v>5.6059774777679001</v>
      </c>
      <c r="AH107" s="10">
        <f t="shared" si="19"/>
        <v>-1.4488830631055094</v>
      </c>
      <c r="AI107" s="10">
        <f t="shared" si="20"/>
        <v>-83.014884523932608</v>
      </c>
      <c r="AJ107" s="10">
        <f t="shared" si="21"/>
        <v>14.973026972656697</v>
      </c>
      <c r="AL107" s="10" t="str">
        <f t="shared" si="24"/>
        <v>0,0172472796143458-0,00534777269097793i</v>
      </c>
      <c r="AM107" s="10" t="str">
        <f t="shared" si="25"/>
        <v>0,830290291540684-0,373174611443025i</v>
      </c>
      <c r="AN107" s="10" t="str">
        <f t="shared" si="29"/>
        <v>-4,79337221637336+4,23014895899831i</v>
      </c>
      <c r="AO107" s="10">
        <f t="shared" si="30"/>
        <v>6.3930100437911515</v>
      </c>
      <c r="AP107" s="10">
        <f t="shared" si="31"/>
        <v>2.4185308585334933</v>
      </c>
      <c r="AQ107" s="10">
        <f t="shared" si="32"/>
        <v>138.57161081612071</v>
      </c>
      <c r="AR107" s="10">
        <f t="shared" si="33"/>
        <v>16.114107734726552</v>
      </c>
      <c r="AS107" s="10">
        <f t="shared" si="34"/>
        <v>31.08713470738325</v>
      </c>
      <c r="AT107" s="10">
        <f t="shared" si="35"/>
        <v>55.556726292188102</v>
      </c>
    </row>
    <row r="108" spans="25:46" x14ac:dyDescent="0.35">
      <c r="Y108" s="10">
        <v>106</v>
      </c>
      <c r="Z108" s="10">
        <f t="shared" si="26"/>
        <v>1513.5612484362066</v>
      </c>
      <c r="AA108" s="10" t="str">
        <f t="shared" si="27"/>
        <v>9509,98579769076i</v>
      </c>
      <c r="AC108" s="10">
        <f>1/(2*$T$3+$T$6*$T$2/('4. Boost Inductor'!$B$11*$T$3^2)*($T$5))</f>
        <v>0.32865720058048542</v>
      </c>
      <c r="AD108" s="10" t="str">
        <f t="shared" si="22"/>
        <v>0,0101856915702232-0,0716883434139729i</v>
      </c>
      <c r="AE108" s="10" t="str">
        <f t="shared" si="23"/>
        <v>0,999768147843158-0,021208119329138i</v>
      </c>
      <c r="AF108" s="10" t="str">
        <f t="shared" si="28"/>
        <v>0,626371362498796-5,19781326599479i</v>
      </c>
      <c r="AG108" s="10">
        <f t="shared" si="18"/>
        <v>5.235418209838639</v>
      </c>
      <c r="AH108" s="10">
        <f t="shared" si="19"/>
        <v>-1.4508679163399538</v>
      </c>
      <c r="AI108" s="10">
        <f t="shared" si="20"/>
        <v>-83.128608237219169</v>
      </c>
      <c r="AJ108" s="10">
        <f t="shared" si="21"/>
        <v>14.379027584559967</v>
      </c>
      <c r="AL108" s="10" t="str">
        <f t="shared" si="24"/>
        <v>0,0172435246769981-0,0049908509326918i</v>
      </c>
      <c r="AM108" s="10" t="str">
        <f t="shared" si="25"/>
        <v>0,809971960451143-0,389962718985198i</v>
      </c>
      <c r="AN108" s="10" t="str">
        <f t="shared" si="29"/>
        <v>-4,6751110288096+4,1874954797216i</v>
      </c>
      <c r="AO108" s="10">
        <f t="shared" si="30"/>
        <v>6.2762872404301246</v>
      </c>
      <c r="AP108" s="10">
        <f t="shared" si="31"/>
        <v>2.411158502630701</v>
      </c>
      <c r="AQ108" s="10">
        <f t="shared" si="32"/>
        <v>138.14920593782236</v>
      </c>
      <c r="AR108" s="10">
        <f t="shared" si="33"/>
        <v>15.954056225637547</v>
      </c>
      <c r="AS108" s="10">
        <f t="shared" si="34"/>
        <v>30.333083810197515</v>
      </c>
      <c r="AT108" s="10">
        <f t="shared" si="35"/>
        <v>55.02059770060319</v>
      </c>
    </row>
    <row r="109" spans="25:46" x14ac:dyDescent="0.35">
      <c r="Y109" s="10">
        <v>107</v>
      </c>
      <c r="Z109" s="10">
        <f t="shared" si="26"/>
        <v>1621.8100973589292</v>
      </c>
      <c r="AA109" s="10" t="str">
        <f t="shared" si="27"/>
        <v>10190,1333747611i</v>
      </c>
      <c r="AC109" s="10">
        <f>1/(2*$T$3+$T$6*$T$2/('4. Boost Inductor'!$B$11*$T$3^2)*($T$5))</f>
        <v>0.32865720058048542</v>
      </c>
      <c r="AD109" s="10" t="str">
        <f t="shared" si="22"/>
        <v>0,00951876809408795-0,0669485334498895i</v>
      </c>
      <c r="AE109" s="10" t="str">
        <f t="shared" si="23"/>
        <v>0,999733802731317-0,0227245107043093i</v>
      </c>
      <c r="AF109" s="10" t="str">
        <f t="shared" si="28"/>
        <v>0,578065140182103-4,85503744910725i</v>
      </c>
      <c r="AG109" s="10">
        <f t="shared" si="18"/>
        <v>4.8893300091656311</v>
      </c>
      <c r="AH109" s="10">
        <f t="shared" si="19"/>
        <v>-1.4522892080161927</v>
      </c>
      <c r="AI109" s="10">
        <f t="shared" si="20"/>
        <v>-83.210042251724715</v>
      </c>
      <c r="AJ109" s="10">
        <f t="shared" si="21"/>
        <v>13.784987025999619</v>
      </c>
      <c r="AL109" s="10" t="str">
        <f t="shared" si="24"/>
        <v>0,0172402542399066-0,00465774859767073i</v>
      </c>
      <c r="AM109" s="10" t="str">
        <f t="shared" si="25"/>
        <v>0,78784995620866-0,406301595399169i</v>
      </c>
      <c r="AN109" s="10" t="str">
        <f t="shared" si="29"/>
        <v>-4,54667056629406+4,15154643964329i</v>
      </c>
      <c r="AO109" s="10">
        <f t="shared" si="30"/>
        <v>6.1569108389613403</v>
      </c>
      <c r="AP109" s="10">
        <f t="shared" si="31"/>
        <v>2.4015891591791516</v>
      </c>
      <c r="AQ109" s="10">
        <f t="shared" si="32"/>
        <v>137.60092294533743</v>
      </c>
      <c r="AR109" s="10">
        <f t="shared" si="33"/>
        <v>15.787257288404373</v>
      </c>
      <c r="AS109" s="10">
        <f t="shared" si="34"/>
        <v>29.572244314403992</v>
      </c>
      <c r="AT109" s="10">
        <f t="shared" si="35"/>
        <v>54.390880693612715</v>
      </c>
    </row>
    <row r="110" spans="25:46" x14ac:dyDescent="0.35">
      <c r="Y110" s="10">
        <v>108</v>
      </c>
      <c r="Z110" s="10">
        <f t="shared" si="26"/>
        <v>1737.8008287493742</v>
      </c>
      <c r="AA110" s="10" t="str">
        <f t="shared" si="27"/>
        <v>10918,9246340026i</v>
      </c>
      <c r="AC110" s="10">
        <f>1/(2*$T$3+$T$6*$T$2/('4. Boost Inductor'!$B$11*$T$3^2)*($T$5))</f>
        <v>0.32865720058048542</v>
      </c>
      <c r="AD110" s="10" t="str">
        <f t="shared" si="22"/>
        <v>0,0089371693419685-0,0625166942880697i</v>
      </c>
      <c r="AE110" s="10" t="str">
        <f t="shared" si="23"/>
        <v>0,999694370738437-0,024349261573802i</v>
      </c>
      <c r="AF110" s="10" t="str">
        <f t="shared" si="28"/>
        <v>0,53593622209267-4,53459651457078i</v>
      </c>
      <c r="AG110" s="10">
        <f t="shared" si="18"/>
        <v>4.5661573761871628</v>
      </c>
      <c r="AH110" s="10">
        <f t="shared" si="19"/>
        <v>-1.4531537703622595</v>
      </c>
      <c r="AI110" s="10">
        <f t="shared" si="20"/>
        <v>-83.259578025280277</v>
      </c>
      <c r="AJ110" s="10">
        <f t="shared" si="21"/>
        <v>13.191017514226804</v>
      </c>
      <c r="AL110" s="10" t="str">
        <f t="shared" si="24"/>
        <v>0,0172374057905417-0,00434687650983961i</v>
      </c>
      <c r="AM110" s="10" t="str">
        <f t="shared" si="25"/>
        <v>0,763912390827159-0,421967104776577i</v>
      </c>
      <c r="AN110" s="10" t="str">
        <f t="shared" si="29"/>
        <v>-4,4079581197709+4,12039383108402i</v>
      </c>
      <c r="AO110" s="10">
        <f t="shared" si="30"/>
        <v>6.033882672781222</v>
      </c>
      <c r="AP110" s="10">
        <f t="shared" si="31"/>
        <v>2.3899003436771107</v>
      </c>
      <c r="AQ110" s="10">
        <f t="shared" si="32"/>
        <v>136.9312031495634</v>
      </c>
      <c r="AR110" s="10">
        <f t="shared" si="33"/>
        <v>15.611937223643533</v>
      </c>
      <c r="AS110" s="10">
        <f t="shared" si="34"/>
        <v>28.802954737870337</v>
      </c>
      <c r="AT110" s="10">
        <f t="shared" si="35"/>
        <v>53.671625124283125</v>
      </c>
    </row>
    <row r="111" spans="25:46" x14ac:dyDescent="0.35">
      <c r="Y111" s="10">
        <v>109</v>
      </c>
      <c r="Z111" s="10">
        <f t="shared" si="26"/>
        <v>1862.0871366628671</v>
      </c>
      <c r="AA111" s="10" t="str">
        <f t="shared" si="27"/>
        <v>11699,8385377682i</v>
      </c>
      <c r="AC111" s="10">
        <f>1/(2*$T$3+$T$6*$T$2/('4. Boost Inductor'!$B$11*$T$3^2)*($T$5))</f>
        <v>0.32865720058048542</v>
      </c>
      <c r="AD111" s="10" t="str">
        <f t="shared" si="22"/>
        <v>0,00843006121907006-0,0583738273248607i</v>
      </c>
      <c r="AE111" s="10" t="str">
        <f t="shared" si="23"/>
        <v>0,999649098692921-0,0260901006106904i</v>
      </c>
      <c r="AF111" s="10" t="str">
        <f t="shared" si="28"/>
        <v>0,499199819765503-4,23511701421384i</v>
      </c>
      <c r="AG111" s="10">
        <f t="shared" si="18"/>
        <v>4.2644362563107281</v>
      </c>
      <c r="AH111" s="10">
        <f t="shared" si="19"/>
        <v>-1.4534661585522433</v>
      </c>
      <c r="AI111" s="10">
        <f t="shared" si="20"/>
        <v>-83.277476550136086</v>
      </c>
      <c r="AJ111" s="10">
        <f t="shared" si="21"/>
        <v>12.597232541462933</v>
      </c>
      <c r="AL111" s="10" t="str">
        <f t="shared" si="24"/>
        <v>0,0172349248814034-0,0040567514387747i</v>
      </c>
      <c r="AM111" s="10" t="str">
        <f t="shared" si="25"/>
        <v>0,738182659004636-0,436720732542165i</v>
      </c>
      <c r="AN111" s="10" t="str">
        <f t="shared" si="29"/>
        <v>-4,25908694237951+4,0920882989158i</v>
      </c>
      <c r="AO111" s="10">
        <f t="shared" si="30"/>
        <v>5.9063532089497706</v>
      </c>
      <c r="AP111" s="10">
        <f t="shared" si="31"/>
        <v>2.3761888483659956</v>
      </c>
      <c r="AQ111" s="10">
        <f t="shared" si="32"/>
        <v>136.1455923374231</v>
      </c>
      <c r="AR111" s="10">
        <f t="shared" si="33"/>
        <v>15.426388297589908</v>
      </c>
      <c r="AS111" s="10">
        <f t="shared" si="34"/>
        <v>28.023620839052839</v>
      </c>
      <c r="AT111" s="10">
        <f t="shared" si="35"/>
        <v>52.86811578728701</v>
      </c>
    </row>
    <row r="112" spans="25:46" x14ac:dyDescent="0.35">
      <c r="Y112" s="10">
        <v>110</v>
      </c>
      <c r="Z112" s="10">
        <f t="shared" si="26"/>
        <v>1995.2623149688786</v>
      </c>
      <c r="AA112" s="10" t="str">
        <f t="shared" si="27"/>
        <v>12536,6028613816i</v>
      </c>
      <c r="AC112" s="10">
        <f>1/(2*$T$3+$T$6*$T$2/('4. Boost Inductor'!$B$11*$T$3^2)*($T$5))</f>
        <v>0.32865720058048542</v>
      </c>
      <c r="AD112" s="10" t="str">
        <f t="shared" si="22"/>
        <v>0,00798796548983197-0,0545019144889027i</v>
      </c>
      <c r="AE112" s="10" t="str">
        <f t="shared" si="23"/>
        <v>0,999597121987032-0,0279553043765977i</v>
      </c>
      <c r="AF112" s="10" t="str">
        <f t="shared" si="28"/>
        <v>0,467169296353027-3,95529667242535i</v>
      </c>
      <c r="AG112" s="10">
        <f t="shared" si="18"/>
        <v>3.9827903432586091</v>
      </c>
      <c r="AH112" s="10">
        <f t="shared" si="19"/>
        <v>-1.4532286900455733</v>
      </c>
      <c r="AI112" s="10">
        <f t="shared" si="20"/>
        <v>-83.263870606936621</v>
      </c>
      <c r="AJ112" s="10">
        <f t="shared" si="21"/>
        <v>12.003748909193954</v>
      </c>
      <c r="AL112" s="10" t="str">
        <f t="shared" si="24"/>
        <v>0,0172327640896684-0,00378598905168337i</v>
      </c>
      <c r="AM112" s="10" t="str">
        <f t="shared" si="25"/>
        <v>0,710724339136472-0,450315915327742i</v>
      </c>
      <c r="AN112" s="10" t="str">
        <f t="shared" si="29"/>
        <v>-4,10040401665662+4,06467277909185i</v>
      </c>
      <c r="AO112" s="10">
        <f t="shared" si="30"/>
        <v>5.7736364538221503</v>
      </c>
      <c r="AP112" s="10">
        <f t="shared" si="31"/>
        <v>2.3605705677692304</v>
      </c>
      <c r="AQ112" s="10">
        <f t="shared" si="32"/>
        <v>135.25073077597736</v>
      </c>
      <c r="AR112" s="10">
        <f t="shared" si="33"/>
        <v>15.228988687292969</v>
      </c>
      <c r="AS112" s="10">
        <f t="shared" si="34"/>
        <v>27.23273759648692</v>
      </c>
      <c r="AT112" s="10">
        <f t="shared" si="35"/>
        <v>51.986860169040739</v>
      </c>
    </row>
    <row r="113" spans="25:46" x14ac:dyDescent="0.35">
      <c r="Y113" s="10">
        <v>111</v>
      </c>
      <c r="Z113" s="10">
        <f t="shared" si="26"/>
        <v>2137.9620895022326</v>
      </c>
      <c r="AA113" s="10" t="str">
        <f t="shared" si="27"/>
        <v>13433,2119880674i</v>
      </c>
      <c r="AC113" s="10">
        <f>1/(2*$T$3+$T$6*$T$2/('4. Boost Inductor'!$B$11*$T$3^2)*($T$5))</f>
        <v>0.32865720058048542</v>
      </c>
      <c r="AD113" s="10" t="str">
        <f t="shared" si="22"/>
        <v>0,00760259488228858-0,050883905482601i</v>
      </c>
      <c r="AE113" s="10" t="str">
        <f t="shared" si="23"/>
        <v>0,999537448114608-0,0299537353883007i</v>
      </c>
      <c r="AF113" s="10" t="str">
        <f t="shared" si="28"/>
        <v>0,439244220570184-3,69390347380971i</v>
      </c>
      <c r="AG113" s="10">
        <f t="shared" si="18"/>
        <v>3.7199271980951116</v>
      </c>
      <c r="AH113" s="10">
        <f t="shared" si="19"/>
        <v>-1.452441489553663</v>
      </c>
      <c r="AI113" s="10">
        <f t="shared" si="20"/>
        <v>-83.218767341119545</v>
      </c>
      <c r="AJ113" s="10">
        <f t="shared" si="21"/>
        <v>11.410688809600572</v>
      </c>
      <c r="AL113" s="10" t="str">
        <f t="shared" si="24"/>
        <v>0,0172308821109998-0,00353329733143124i</v>
      </c>
      <c r="AM113" s="10" t="str">
        <f t="shared" si="25"/>
        <v>0,6816448014248-0,462505975325673i</v>
      </c>
      <c r="AN113" s="10" t="str">
        <f t="shared" si="29"/>
        <v>-3,93251044196126+4,03622554201541i</v>
      </c>
      <c r="AO113" s="10">
        <f t="shared" si="30"/>
        <v>5.6352244855153684</v>
      </c>
      <c r="AP113" s="10">
        <f t="shared" si="31"/>
        <v>2.3431799738971888</v>
      </c>
      <c r="AQ113" s="10">
        <f t="shared" si="32"/>
        <v>134.25432314388331</v>
      </c>
      <c r="AR113" s="10">
        <f t="shared" si="33"/>
        <v>15.018224426732827</v>
      </c>
      <c r="AS113" s="10">
        <f t="shared" si="34"/>
        <v>26.428913236333401</v>
      </c>
      <c r="AT113" s="10">
        <f t="shared" si="35"/>
        <v>51.035555802763767</v>
      </c>
    </row>
    <row r="114" spans="25:46" x14ac:dyDescent="0.35">
      <c r="Y114" s="10">
        <v>112</v>
      </c>
      <c r="Z114" s="10">
        <f t="shared" si="26"/>
        <v>2290.8676527677708</v>
      </c>
      <c r="AA114" s="10" t="str">
        <f t="shared" si="27"/>
        <v>14393,9459765634i</v>
      </c>
      <c r="AC114" s="10">
        <f>1/(2*$T$3+$T$6*$T$2/('4. Boost Inductor'!$B$11*$T$3^2)*($T$5))</f>
        <v>0.32865720058048542</v>
      </c>
      <c r="AD114" s="10" t="str">
        <f t="shared" si="22"/>
        <v>0,00726670707924358-0,0475036963408458i</v>
      </c>
      <c r="AE114" s="10" t="str">
        <f t="shared" si="23"/>
        <v>0,999468937784891-0,0320948826499221i</v>
      </c>
      <c r="AF114" s="10" t="str">
        <f t="shared" si="28"/>
        <v>0,414899787603935-3,44977412282331i</v>
      </c>
      <c r="AG114" s="10">
        <f t="shared" si="18"/>
        <v>3.4746342731653255</v>
      </c>
      <c r="AH114" s="10">
        <f t="shared" si="19"/>
        <v>-1.4511025411119249</v>
      </c>
      <c r="AI114" s="10">
        <f t="shared" si="20"/>
        <v>-83.142051246422326</v>
      </c>
      <c r="AJ114" s="10">
        <f t="shared" si="21"/>
        <v>10.818181982810554</v>
      </c>
      <c r="AL114" s="10" t="str">
        <f t="shared" si="24"/>
        <v>0,0172292429702298-0,00329747043032794i</v>
      </c>
      <c r="AM114" s="10" t="str">
        <f t="shared" si="25"/>
        <v>0,65109697313104-0,473053368171618i</v>
      </c>
      <c r="AN114" s="10" t="str">
        <f t="shared" si="29"/>
        <v>-3,75627127405088+4,00491095645051i</v>
      </c>
      <c r="AO114" s="10">
        <f t="shared" si="30"/>
        <v>5.4908000922777322</v>
      </c>
      <c r="AP114" s="10">
        <f t="shared" si="31"/>
        <v>2.3241691278686107</v>
      </c>
      <c r="AQ114" s="10">
        <f t="shared" si="32"/>
        <v>133.16508190147275</v>
      </c>
      <c r="AR114" s="10">
        <f t="shared" si="33"/>
        <v>14.792712646174092</v>
      </c>
      <c r="AS114" s="10">
        <f t="shared" si="34"/>
        <v>25.610894628984646</v>
      </c>
      <c r="AT114" s="10">
        <f t="shared" si="35"/>
        <v>50.02303065505042</v>
      </c>
    </row>
    <row r="115" spans="25:46" x14ac:dyDescent="0.35">
      <c r="Y115" s="10">
        <v>113</v>
      </c>
      <c r="Z115" s="10">
        <f t="shared" si="26"/>
        <v>2454.708915685027</v>
      </c>
      <c r="AA115" s="10" t="str">
        <f t="shared" si="27"/>
        <v>15423,3909924349i</v>
      </c>
      <c r="AC115" s="10">
        <f>1/(2*$T$3+$T$6*$T$2/('4. Boost Inductor'!$B$11*$T$3^2)*($T$5))</f>
        <v>0.32865720058048542</v>
      </c>
      <c r="AD115" s="10" t="str">
        <f t="shared" si="22"/>
        <v>0,00697397572360281-0,0443461015767137i</v>
      </c>
      <c r="AE115" s="10" t="str">
        <f t="shared" si="23"/>
        <v>0,999390283258137-0,0343889047681025i</v>
      </c>
      <c r="AF115" s="10" t="str">
        <f t="shared" si="28"/>
        <v>0,39367747126958-3,22181203979255i</v>
      </c>
      <c r="AG115" s="10">
        <f t="shared" si="18"/>
        <v>3.2457749107320186</v>
      </c>
      <c r="AH115" s="10">
        <f t="shared" si="19"/>
        <v>-1.4492077494060012</v>
      </c>
      <c r="AI115" s="10">
        <f t="shared" si="20"/>
        <v>-83.033487678616495</v>
      </c>
      <c r="AJ115" s="10">
        <f t="shared" si="21"/>
        <v>10.226367978217576</v>
      </c>
      <c r="AL115" s="10" t="str">
        <f t="shared" si="24"/>
        <v>0,0172278153338452-0,00307738293125349i</v>
      </c>
      <c r="AM115" s="10" t="str">
        <f t="shared" si="25"/>
        <v>0,619278782829081-0,481739749130075i</v>
      </c>
      <c r="AN115" s="10" t="str">
        <f t="shared" si="29"/>
        <v>-3,5728120623954+3,96903511615138i</v>
      </c>
      <c r="AO115" s="10">
        <f t="shared" si="30"/>
        <v>5.3402458544940483</v>
      </c>
      <c r="AP115" s="10">
        <f t="shared" si="31"/>
        <v>2.3037061396411591</v>
      </c>
      <c r="AQ115" s="10">
        <f t="shared" si="32"/>
        <v>131.99263903981389</v>
      </c>
      <c r="AR115" s="10">
        <f t="shared" si="33"/>
        <v>14.551225031178852</v>
      </c>
      <c r="AS115" s="10">
        <f t="shared" si="34"/>
        <v>24.777593009396426</v>
      </c>
      <c r="AT115" s="10">
        <f t="shared" si="35"/>
        <v>48.959151361197399</v>
      </c>
    </row>
    <row r="116" spans="25:46" x14ac:dyDescent="0.35">
      <c r="Y116" s="10">
        <v>114</v>
      </c>
      <c r="Z116" s="10">
        <f t="shared" si="26"/>
        <v>2630.26799189538</v>
      </c>
      <c r="AA116" s="10" t="str">
        <f t="shared" si="27"/>
        <v>16526,4612006218i</v>
      </c>
      <c r="AC116" s="10">
        <f>1/(2*$T$3+$T$6*$T$2/('4. Boost Inductor'!$B$11*$T$3^2)*($T$5))</f>
        <v>0.32865720058048542</v>
      </c>
      <c r="AD116" s="10" t="str">
        <f t="shared" si="22"/>
        <v>0,00671887667486493-0,0413968217431321i</v>
      </c>
      <c r="AE116" s="10" t="str">
        <f t="shared" si="23"/>
        <v>0,999299983497733-0,0368466757624629i</v>
      </c>
      <c r="AF116" s="10" t="str">
        <f t="shared" si="28"/>
        <v>0,375176779621414-3,00898502579467i</v>
      </c>
      <c r="AG116" s="10">
        <f t="shared" si="18"/>
        <v>3.032284370144668</v>
      </c>
      <c r="AH116" s="10">
        <f t="shared" si="19"/>
        <v>-1.4467510132287817</v>
      </c>
      <c r="AI116" s="10">
        <f t="shared" si="20"/>
        <v>-82.892727064284728</v>
      </c>
      <c r="AJ116" s="10">
        <f t="shared" si="21"/>
        <v>9.6353985473367434</v>
      </c>
      <c r="AL116" s="10" t="str">
        <f t="shared" si="24"/>
        <v>0,017226571911155-0,00287198448947822i</v>
      </c>
      <c r="AM116" s="10" t="str">
        <f t="shared" si="25"/>
        <v>0,58642996024991-0,488376177717171i</v>
      </c>
      <c r="AN116" s="10" t="str">
        <f t="shared" si="29"/>
        <v>-3,38350022103845+3,92710241070611i</v>
      </c>
      <c r="AO116" s="10">
        <f t="shared" si="30"/>
        <v>5.1836480484250647</v>
      </c>
      <c r="AP116" s="10">
        <f t="shared" si="31"/>
        <v>2.2819730276112549</v>
      </c>
      <c r="AQ116" s="10">
        <f t="shared" si="32"/>
        <v>130.74742344481538</v>
      </c>
      <c r="AR116" s="10">
        <f t="shared" si="33"/>
        <v>14.292710135739217</v>
      </c>
      <c r="AS116" s="10">
        <f t="shared" si="34"/>
        <v>23.928108683075962</v>
      </c>
      <c r="AT116" s="10">
        <f t="shared" si="35"/>
        <v>47.854696380530655</v>
      </c>
    </row>
    <row r="117" spans="25:46" x14ac:dyDescent="0.35">
      <c r="Y117" s="10">
        <v>115</v>
      </c>
      <c r="Z117" s="10">
        <f t="shared" si="26"/>
        <v>2818.3829312644511</v>
      </c>
      <c r="AA117" s="10" t="str">
        <f t="shared" si="27"/>
        <v>17708,4222237265i</v>
      </c>
      <c r="AC117" s="10">
        <f>1/(2*$T$3+$T$6*$T$2/('4. Boost Inductor'!$B$11*$T$3^2)*($T$5))</f>
        <v>0.32865720058048542</v>
      </c>
      <c r="AD117" s="10" t="str">
        <f t="shared" si="22"/>
        <v>0,00649658787970039-0,0386424078745245i</v>
      </c>
      <c r="AE117" s="10" t="str">
        <f t="shared" si="23"/>
        <v>0,999196315675472-0,0394798336751527i</v>
      </c>
      <c r="AF117" s="10" t="str">
        <f t="shared" si="28"/>
        <v>0,359047995327008-2,81032270245075i</v>
      </c>
      <c r="AG117" s="10">
        <f t="shared" si="18"/>
        <v>2.8331659243430183</v>
      </c>
      <c r="AH117" s="10">
        <f t="shared" si="19"/>
        <v>-1.4437243147456369</v>
      </c>
      <c r="AI117" s="10">
        <f t="shared" si="20"/>
        <v>-82.719310015341875</v>
      </c>
      <c r="AJ117" s="10">
        <f t="shared" si="21"/>
        <v>9.0454401943723681</v>
      </c>
      <c r="AL117" s="10" t="str">
        <f t="shared" si="24"/>
        <v>0,0172254889327014-0,00268029483020619i</v>
      </c>
      <c r="AM117" s="10" t="str">
        <f t="shared" si="25"/>
        <v>0,552826099608781-0,492812652753209i</v>
      </c>
      <c r="AN117" s="10" t="str">
        <f t="shared" si="29"/>
        <v>-3,18991069907109+3,87786838613579i</v>
      </c>
      <c r="AO117" s="10">
        <f t="shared" si="30"/>
        <v>5.0212940053575439</v>
      </c>
      <c r="AP117" s="10">
        <f t="shared" si="31"/>
        <v>2.2591629820193777</v>
      </c>
      <c r="AQ117" s="10">
        <f t="shared" si="32"/>
        <v>129.44050410189982</v>
      </c>
      <c r="AR117" s="10">
        <f t="shared" si="33"/>
        <v>14.016313016079939</v>
      </c>
      <c r="AS117" s="10">
        <f t="shared" si="34"/>
        <v>23.061753210452309</v>
      </c>
      <c r="AT117" s="10">
        <f t="shared" si="35"/>
        <v>46.721194086557944</v>
      </c>
    </row>
    <row r="118" spans="25:46" x14ac:dyDescent="0.35">
      <c r="Y118" s="10">
        <v>116</v>
      </c>
      <c r="Z118" s="10">
        <f t="shared" si="26"/>
        <v>3019.9517204020176</v>
      </c>
      <c r="AA118" s="10" t="str">
        <f t="shared" si="27"/>
        <v>18974,9162780217i</v>
      </c>
      <c r="AC118" s="10">
        <f>1/(2*$T$3+$T$6*$T$2/('4. Boost Inductor'!$B$11*$T$3^2)*($T$5))</f>
        <v>0.32865720058048542</v>
      </c>
      <c r="AD118" s="10" t="str">
        <f t="shared" si="22"/>
        <v>0,00630290135280308-0,0360702239718226i</v>
      </c>
      <c r="AE118" s="10" t="str">
        <f t="shared" si="23"/>
        <v>0,999077302500609-0,0423008320703861i</v>
      </c>
      <c r="AF118" s="10" t="str">
        <f t="shared" si="28"/>
        <v>0,344985791743922-2,6249138109059i</v>
      </c>
      <c r="AG118" s="10">
        <f t="shared" si="18"/>
        <v>2.6474870559059802</v>
      </c>
      <c r="AH118" s="10">
        <f t="shared" si="19"/>
        <v>-1.4401178291332237</v>
      </c>
      <c r="AI118" s="10">
        <f t="shared" si="20"/>
        <v>-82.51267361087595</v>
      </c>
      <c r="AJ118" s="10">
        <f t="shared" si="21"/>
        <v>8.4566769086416436</v>
      </c>
      <c r="AL118" s="10" t="str">
        <f t="shared" si="24"/>
        <v>0,0172245456959548-0,00250139907845744i</v>
      </c>
      <c r="AM118" s="10" t="str">
        <f t="shared" si="25"/>
        <v>0,518770177937157-0,494946132298414i</v>
      </c>
      <c r="AN118" s="10" t="str">
        <f t="shared" si="29"/>
        <v>-2,99377704777455+3,82038402562099i</v>
      </c>
      <c r="AO118" s="10">
        <f t="shared" si="30"/>
        <v>4.8536620313946193</v>
      </c>
      <c r="AP118" s="10">
        <f t="shared" si="31"/>
        <v>2.235477094897786</v>
      </c>
      <c r="AQ118" s="10">
        <f t="shared" si="32"/>
        <v>128.08340273580936</v>
      </c>
      <c r="AR118" s="10">
        <f t="shared" si="33"/>
        <v>13.721390647951072</v>
      </c>
      <c r="AS118" s="10">
        <f t="shared" si="34"/>
        <v>22.178067556592715</v>
      </c>
      <c r="AT118" s="10">
        <f t="shared" si="35"/>
        <v>45.570729124933408</v>
      </c>
    </row>
    <row r="119" spans="25:46" x14ac:dyDescent="0.35">
      <c r="Y119" s="10">
        <v>117</v>
      </c>
      <c r="Z119" s="10">
        <f t="shared" si="26"/>
        <v>3235.9365692962774</v>
      </c>
      <c r="AA119" s="10" t="str">
        <f t="shared" si="27"/>
        <v>20331,9891071675i</v>
      </c>
      <c r="AC119" s="10">
        <f>1/(2*$T$3+$T$6*$T$2/('4. Boost Inductor'!$B$11*$T$3^2)*($T$5))</f>
        <v>0.32865720058048542</v>
      </c>
      <c r="AD119" s="10" t="str">
        <f t="shared" si="22"/>
        <v>0,00613414589844436-0,0336684084476354i</v>
      </c>
      <c r="AE119" s="10" t="str">
        <f t="shared" si="23"/>
        <v>0,998940674768412-0,0453229944964622i</v>
      </c>
      <c r="AF119" s="10" t="str">
        <f t="shared" si="28"/>
        <v>0,332723625336356-2,45190343640855i</v>
      </c>
      <c r="AG119" s="10">
        <f t="shared" si="18"/>
        <v>2.4743757742770245</v>
      </c>
      <c r="AH119" s="10">
        <f t="shared" si="19"/>
        <v>-1.4359200601425872</v>
      </c>
      <c r="AI119" s="10">
        <f t="shared" si="20"/>
        <v>-82.272159164341588</v>
      </c>
      <c r="AJ119" s="10">
        <f t="shared" si="21"/>
        <v>7.8693130998983101</v>
      </c>
      <c r="AL119" s="10" t="str">
        <f t="shared" si="24"/>
        <v>0,0172237241696167-0,00233444339939746i</v>
      </c>
      <c r="AM119" s="10" t="str">
        <f t="shared" si="25"/>
        <v>0,484582015486302-0,494726267948989i</v>
      </c>
      <c r="AN119" s="10" t="str">
        <f t="shared" si="29"/>
        <v>-2,7969306808878+3,7540270125733i</v>
      </c>
      <c r="AO119" s="10">
        <f t="shared" si="30"/>
        <v>4.6814036404503199</v>
      </c>
      <c r="AP119" s="10">
        <f t="shared" si="31"/>
        <v>2.2111206772931062</v>
      </c>
      <c r="AQ119" s="10">
        <f t="shared" si="32"/>
        <v>126.68788280300308</v>
      </c>
      <c r="AR119" s="10">
        <f t="shared" si="33"/>
        <v>13.407521770477546</v>
      </c>
      <c r="AS119" s="10">
        <f t="shared" si="34"/>
        <v>21.276834870375858</v>
      </c>
      <c r="AT119" s="10">
        <f t="shared" si="35"/>
        <v>44.41572363866149</v>
      </c>
    </row>
    <row r="120" spans="25:46" x14ac:dyDescent="0.35">
      <c r="Y120" s="10">
        <v>118</v>
      </c>
      <c r="Z120" s="10">
        <f t="shared" si="26"/>
        <v>3467.368504525316</v>
      </c>
      <c r="AA120" s="10" t="str">
        <f t="shared" si="27"/>
        <v>21786,1188422107i</v>
      </c>
      <c r="AC120" s="10">
        <f>1/(2*$T$3+$T$6*$T$2/('4. Boost Inductor'!$B$11*$T$3^2)*($T$5))</f>
        <v>0.32865720058048542</v>
      </c>
      <c r="AD120" s="10" t="str">
        <f t="shared" si="22"/>
        <v>0,00598711933409982-0,0314258352470345i</v>
      </c>
      <c r="AE120" s="10" t="str">
        <f t="shared" si="23"/>
        <v>0,998783828438917-0,0485605719574126i</v>
      </c>
      <c r="AF120" s="10" t="str">
        <f t="shared" si="28"/>
        <v>0,322028814525497-2,29049021031381i</v>
      </c>
      <c r="AG120" s="10">
        <f t="shared" si="18"/>
        <v>2.3130170688795397</v>
      </c>
      <c r="AH120" s="10">
        <f t="shared" si="19"/>
        <v>-1.4311180082245865</v>
      </c>
      <c r="AI120" s="10">
        <f t="shared" si="20"/>
        <v>-81.997021856437442</v>
      </c>
      <c r="AJ120" s="10">
        <f t="shared" si="21"/>
        <v>7.2835767530591191</v>
      </c>
      <c r="AL120" s="10" t="str">
        <f t="shared" si="24"/>
        <v>0,0172230086489689-0,00217863092862893i</v>
      </c>
      <c r="AM120" s="10" t="str">
        <f t="shared" si="25"/>
        <v>0,450586423102355-0,492158272320496i</v>
      </c>
      <c r="AN120" s="10" t="str">
        <f t="shared" si="29"/>
        <v>-2,60123260700906+3,67851662726952i</v>
      </c>
      <c r="AO120" s="10">
        <f t="shared" si="30"/>
        <v>4.5053185961556004</v>
      </c>
      <c r="AP120" s="10">
        <f t="shared" si="31"/>
        <v>2.1862993334509446</v>
      </c>
      <c r="AQ120" s="10">
        <f t="shared" si="32"/>
        <v>125.26572455900417</v>
      </c>
      <c r="AR120" s="10">
        <f t="shared" si="33"/>
        <v>13.074510155624402</v>
      </c>
      <c r="AS120" s="10">
        <f t="shared" si="34"/>
        <v>20.358086908683521</v>
      </c>
      <c r="AT120" s="10">
        <f t="shared" si="35"/>
        <v>43.268702702566728</v>
      </c>
    </row>
    <row r="121" spans="25:46" x14ac:dyDescent="0.35">
      <c r="Y121" s="10">
        <v>119</v>
      </c>
      <c r="Z121" s="10">
        <f t="shared" si="26"/>
        <v>3715.352290971724</v>
      </c>
      <c r="AA121" s="10" t="str">
        <f t="shared" si="27"/>
        <v>23344,2469256296i</v>
      </c>
      <c r="AC121" s="10">
        <f>1/(2*$T$3+$T$6*$T$2/('4. Boost Inductor'!$B$11*$T$3^2)*($T$5))</f>
        <v>0.32865720058048542</v>
      </c>
      <c r="AD121" s="10" t="str">
        <f t="shared" si="22"/>
        <v>0,00585902910233748-0,0293320751957437i</v>
      </c>
      <c r="AE121" s="10" t="str">
        <f t="shared" si="23"/>
        <v>0,998603775460473-0,0520288034073418i</v>
      </c>
      <c r="AF121" s="10" t="str">
        <f t="shared" si="28"/>
        <v>0,312698224076871-2,13992352947244i</v>
      </c>
      <c r="AG121" s="10">
        <f t="shared" ref="AG121:AG184" si="36">IMABS(AF121)</f>
        <v>2.1626495072781942</v>
      </c>
      <c r="AH121" s="10">
        <f t="shared" ref="AH121:AH184" si="37">IMARGUMENT(AF121)</f>
        <v>-1.4256973790406238</v>
      </c>
      <c r="AI121" s="10">
        <f t="shared" ref="AI121:AI184" si="38">AH121/(PI())*180</f>
        <v>-81.686442681890938</v>
      </c>
      <c r="AJ121" s="10">
        <f t="shared" ref="AJ121:AJ184" si="39">20*LOG(AG121,10)</f>
        <v>6.6997228123695054</v>
      </c>
      <c r="AL121" s="10" t="str">
        <f t="shared" si="24"/>
        <v>0,0172223854556879-0,00203321797328475i</v>
      </c>
      <c r="AM121" s="10" t="str">
        <f t="shared" si="25"/>
        <v>0,417100953829919-0,487302620191946i</v>
      </c>
      <c r="AN121" s="10" t="str">
        <f t="shared" si="29"/>
        <v>-2,40850290429405+3,59391054779006i</v>
      </c>
      <c r="AO121" s="10">
        <f t="shared" si="30"/>
        <v>4.326323989891363</v>
      </c>
      <c r="AP121" s="10">
        <f t="shared" si="31"/>
        <v>2.1612149940839021</v>
      </c>
      <c r="AQ121" s="10">
        <f t="shared" si="32"/>
        <v>123.82849778139877</v>
      </c>
      <c r="AR121" s="10">
        <f t="shared" si="33"/>
        <v>12.722380795603955</v>
      </c>
      <c r="AS121" s="10">
        <f t="shared" si="34"/>
        <v>19.422103607973462</v>
      </c>
      <c r="AT121" s="10">
        <f t="shared" si="35"/>
        <v>42.142055099507829</v>
      </c>
    </row>
    <row r="122" spans="25:46" x14ac:dyDescent="0.35">
      <c r="Y122" s="10">
        <v>120</v>
      </c>
      <c r="Z122" s="10">
        <f t="shared" si="26"/>
        <v>3981.0717055349701</v>
      </c>
      <c r="AA122" s="10" t="str">
        <f t="shared" si="27"/>
        <v>25013,8112470457i</v>
      </c>
      <c r="AC122" s="10">
        <f>1/(2*$T$3+$T$6*$T$2/('4. Boost Inductor'!$B$11*$T$3^2)*($T$5))</f>
        <v>0.32865720058048542</v>
      </c>
      <c r="AD122" s="10" t="str">
        <f t="shared" si="22"/>
        <v>0,0057474402741312-0,0273773579949982i</v>
      </c>
      <c r="AE122" s="10" t="str">
        <f t="shared" si="23"/>
        <v>0,99839708744423-0,055743979235636i</v>
      </c>
      <c r="AF122" s="10" t="str">
        <f t="shared" si="28"/>
        <v>0,304554482565794-1,99950082335745i</v>
      </c>
      <c r="AG122" s="10">
        <f t="shared" si="36"/>
        <v>2.0225619830942234</v>
      </c>
      <c r="AH122" s="10">
        <f t="shared" si="37"/>
        <v>-1.4196428414472406</v>
      </c>
      <c r="AI122" s="10">
        <f t="shared" si="38"/>
        <v>-81.33954323088679</v>
      </c>
      <c r="AJ122" s="10">
        <f t="shared" si="39"/>
        <v>6.1180367960774165</v>
      </c>
      <c r="AL122" s="10" t="str">
        <f t="shared" si="24"/>
        <v>0,0172218426763868-0,00189751046600325i</v>
      </c>
      <c r="AM122" s="10" t="str">
        <f t="shared" si="25"/>
        <v>0,384424229076525-0,480271614797439i</v>
      </c>
      <c r="AN122" s="10" t="str">
        <f t="shared" si="29"/>
        <v>-2,22045351303956+3,50058372927261i</v>
      </c>
      <c r="AO122" s="10">
        <f t="shared" si="30"/>
        <v>4.1454191886005765</v>
      </c>
      <c r="AP122" s="10">
        <f t="shared" si="31"/>
        <v>2.136062121620963</v>
      </c>
      <c r="AQ122" s="10">
        <f t="shared" si="32"/>
        <v>122.38734434664153</v>
      </c>
      <c r="AR122" s="10">
        <f t="shared" si="33"/>
        <v>12.351369067285313</v>
      </c>
      <c r="AS122" s="10">
        <f t="shared" si="34"/>
        <v>18.469405863362731</v>
      </c>
      <c r="AT122" s="10">
        <f t="shared" si="35"/>
        <v>41.047801115754737</v>
      </c>
    </row>
    <row r="123" spans="25:46" x14ac:dyDescent="0.35">
      <c r="Y123" s="10">
        <v>121</v>
      </c>
      <c r="Z123" s="10">
        <f t="shared" si="26"/>
        <v>4265.7951880159226</v>
      </c>
      <c r="AA123" s="10" t="str">
        <f t="shared" si="27"/>
        <v>26802,781648779i</v>
      </c>
      <c r="AC123" s="10">
        <f>1/(2*$T$3+$T$6*$T$2/('4. Boost Inductor'!$B$11*$T$3^2)*($T$5))</f>
        <v>0.32865720058048542</v>
      </c>
      <c r="AD123" s="10" t="str">
        <f t="shared" si="22"/>
        <v>0,00565023005497987-0,0255525351755749i</v>
      </c>
      <c r="AE123" s="10" t="str">
        <f t="shared" si="23"/>
        <v>0,998159831173663-0,0597235076528181i</v>
      </c>
      <c r="AF123" s="10" t="str">
        <f t="shared" si="28"/>
        <v>0,297442668261489-1,86856489153025i</v>
      </c>
      <c r="AG123" s="10">
        <f t="shared" si="36"/>
        <v>1.892090614839038</v>
      </c>
      <c r="AH123" s="10">
        <f t="shared" si="37"/>
        <v>-1.4129383453539686</v>
      </c>
      <c r="AI123" s="10">
        <f t="shared" si="38"/>
        <v>-80.955403900980343</v>
      </c>
      <c r="AJ123" s="10">
        <f t="shared" si="39"/>
        <v>5.5388386305566017</v>
      </c>
      <c r="AL123" s="10" t="str">
        <f t="shared" si="24"/>
        <v>0,0172213699348895-0,00177086065503382i</v>
      </c>
      <c r="AM123" s="10" t="str">
        <f t="shared" si="25"/>
        <v>0,352825732785744-0,471223176521757i</v>
      </c>
      <c r="AN123" s="10" t="str">
        <f t="shared" si="29"/>
        <v>-2,03862948006979+3,39919140859055i</v>
      </c>
      <c r="AO123" s="10">
        <f t="shared" si="30"/>
        <v>3.9636488731023376</v>
      </c>
      <c r="AP123" s="10">
        <f t="shared" si="31"/>
        <v>2.1110242878233292</v>
      </c>
      <c r="AQ123" s="10">
        <f t="shared" si="32"/>
        <v>120.95278214188711</v>
      </c>
      <c r="AR123" s="10">
        <f t="shared" si="33"/>
        <v>11.961903495334825</v>
      </c>
      <c r="AS123" s="10">
        <f t="shared" si="34"/>
        <v>17.500742125891428</v>
      </c>
      <c r="AT123" s="10">
        <f t="shared" si="35"/>
        <v>39.99737824090677</v>
      </c>
    </row>
    <row r="124" spans="25:46" x14ac:dyDescent="0.35">
      <c r="Y124" s="10">
        <v>122</v>
      </c>
      <c r="Z124" s="10">
        <f t="shared" si="26"/>
        <v>4570.881896148745</v>
      </c>
      <c r="AA124" s="10" t="str">
        <f t="shared" si="27"/>
        <v>28719,697970735i</v>
      </c>
      <c r="AC124" s="10">
        <f>1/(2*$T$3+$T$6*$T$2/('4. Boost Inductor'!$B$11*$T$3^2)*($T$5))</f>
        <v>0.32865720058048542</v>
      </c>
      <c r="AD124" s="10" t="str">
        <f t="shared" si="22"/>
        <v>0,00556554800431102-0,0238490442378543i</v>
      </c>
      <c r="AE124" s="10" t="str">
        <f t="shared" si="23"/>
        <v>0,997887494796377-0,063985983811753i</v>
      </c>
      <c r="AF124" s="10" t="str">
        <f t="shared" si="28"/>
        <v>0,291227405904947-1,74650132782443i</v>
      </c>
      <c r="AG124" s="10">
        <f t="shared" si="36"/>
        <v>1.7706157940226956</v>
      </c>
      <c r="AH124" s="10">
        <f t="shared" si="37"/>
        <v>-1.405567511149904</v>
      </c>
      <c r="AI124" s="10">
        <f t="shared" si="38"/>
        <v>-80.533086209596775</v>
      </c>
      <c r="AJ124" s="10">
        <f t="shared" si="39"/>
        <v>4.962486676790002</v>
      </c>
      <c r="AL124" s="10" t="str">
        <f t="shared" si="24"/>
        <v>0,0172209581938875-0,0016526640148157i</v>
      </c>
      <c r="AM124" s="10" t="str">
        <f t="shared" si="25"/>
        <v>0,322537775650993-0,460352478426873i</v>
      </c>
      <c r="AN124" s="10" t="str">
        <f t="shared" si="29"/>
        <v>-1,86436268876598+3,29061981778648i</v>
      </c>
      <c r="AO124" s="10">
        <f t="shared" si="30"/>
        <v>3.7820665013285844</v>
      </c>
      <c r="AP124" s="10">
        <f t="shared" si="31"/>
        <v>2.0862712905839529</v>
      </c>
      <c r="AQ124" s="10">
        <f t="shared" si="32"/>
        <v>119.53453986977186</v>
      </c>
      <c r="AR124" s="10">
        <f t="shared" si="33"/>
        <v>11.554583218398971</v>
      </c>
      <c r="AS124" s="10">
        <f t="shared" si="34"/>
        <v>16.517069895188975</v>
      </c>
      <c r="AT124" s="10">
        <f t="shared" si="35"/>
        <v>39.001453660175088</v>
      </c>
    </row>
    <row r="125" spans="25:46" x14ac:dyDescent="0.35">
      <c r="Y125" s="10">
        <v>123</v>
      </c>
      <c r="Z125" s="10">
        <f t="shared" si="26"/>
        <v>4897.7881936844633</v>
      </c>
      <c r="AA125" s="10" t="str">
        <f t="shared" si="27"/>
        <v>30773,7108162359i</v>
      </c>
      <c r="AC125" s="10">
        <f>1/(2*$T$3+$T$6*$T$2/('4. Boost Inductor'!$B$11*$T$3^2)*($T$5))</f>
        <v>0.32865720058048542</v>
      </c>
      <c r="AD125" s="10" t="str">
        <f t="shared" si="22"/>
        <v>0,00549178126866211-0,0222588741364638i</v>
      </c>
      <c r="AE125" s="10" t="str">
        <f t="shared" si="23"/>
        <v>0,997574903392546-0,0685512614032459i</v>
      </c>
      <c r="AF125" s="10" t="str">
        <f t="shared" si="28"/>
        <v>0,285790323327592-1,63273604264869i</v>
      </c>
      <c r="AG125" s="10">
        <f t="shared" si="36"/>
        <v>1.6575593786865659</v>
      </c>
      <c r="AH125" s="10">
        <f t="shared" si="37"/>
        <v>-1.3975141035825651</v>
      </c>
      <c r="AI125" s="10">
        <f t="shared" si="38"/>
        <v>-80.071659945289539</v>
      </c>
      <c r="AJ125" s="10">
        <f t="shared" si="39"/>
        <v>4.3893819014036577</v>
      </c>
      <c r="AL125" s="10" t="str">
        <f t="shared" si="24"/>
        <v>0,0172205995821851-0,00154235636239794i</v>
      </c>
      <c r="AM125" s="10" t="str">
        <f t="shared" si="25"/>
        <v>0,293750062697804-0,447882222041102i</v>
      </c>
      <c r="AN125" s="10" t="str">
        <f t="shared" si="29"/>
        <v>-1,69874056418764+3,17592916149142i</v>
      </c>
      <c r="AO125" s="10">
        <f t="shared" si="30"/>
        <v>3.6017003683299551</v>
      </c>
      <c r="AP125" s="10">
        <f t="shared" si="31"/>
        <v>2.0619569276644922</v>
      </c>
      <c r="AQ125" s="10">
        <f t="shared" si="32"/>
        <v>118.14142949293738</v>
      </c>
      <c r="AR125" s="10">
        <f t="shared" si="33"/>
        <v>11.13015160557503</v>
      </c>
      <c r="AS125" s="10">
        <f t="shared" si="34"/>
        <v>15.519533506978687</v>
      </c>
      <c r="AT125" s="10">
        <f t="shared" si="35"/>
        <v>38.069769547647837</v>
      </c>
    </row>
    <row r="126" spans="25:46" x14ac:dyDescent="0.35">
      <c r="Y126" s="10">
        <v>124</v>
      </c>
      <c r="Z126" s="10">
        <f t="shared" si="26"/>
        <v>5248.0746024977261</v>
      </c>
      <c r="AA126" s="10" t="str">
        <f t="shared" si="27"/>
        <v>32974,6252333961i</v>
      </c>
      <c r="AC126" s="10">
        <f>1/(2*$T$3+$T$6*$T$2/('4. Boost Inductor'!$B$11*$T$3^2)*($T$5))</f>
        <v>0.32865720058048542</v>
      </c>
      <c r="AD126" s="10" t="str">
        <f t="shared" si="22"/>
        <v>0,00542752421035962-0,020774532213878i</v>
      </c>
      <c r="AE126" s="10" t="str">
        <f t="shared" si="23"/>
        <v>0,997216122444571-0,0734405263440714i</v>
      </c>
      <c r="AF126" s="10" t="str">
        <f t="shared" si="28"/>
        <v>0,281027822688138-1,52673289085095i</v>
      </c>
      <c r="AG126" s="10">
        <f t="shared" si="36"/>
        <v>1.5523820267997614</v>
      </c>
      <c r="AH126" s="10">
        <f t="shared" si="37"/>
        <v>-1.3887626039178613</v>
      </c>
      <c r="AI126" s="10">
        <f t="shared" si="38"/>
        <v>-79.570235950091856</v>
      </c>
      <c r="AJ126" s="10">
        <f t="shared" si="39"/>
        <v>3.819972118271787</v>
      </c>
      <c r="AL126" s="10" t="str">
        <f t="shared" si="24"/>
        <v>0,0172202872442361-0,00143941116602981i</v>
      </c>
      <c r="AM126" s="10" t="str">
        <f t="shared" si="25"/>
        <v>0,266607000619284-0,434052400072891i</v>
      </c>
      <c r="AN126" s="10" t="str">
        <f t="shared" si="29"/>
        <v>-1,54259053598818+3,05629371992344i</v>
      </c>
      <c r="AO126" s="10">
        <f t="shared" si="30"/>
        <v>3.4235240417096184</v>
      </c>
      <c r="AP126" s="10">
        <f t="shared" si="31"/>
        <v>2.0382174881583337</v>
      </c>
      <c r="AQ126" s="10">
        <f t="shared" si="32"/>
        <v>116.78125980122836</v>
      </c>
      <c r="AR126" s="10">
        <f t="shared" si="33"/>
        <v>10.689467640971444</v>
      </c>
      <c r="AS126" s="10">
        <f t="shared" si="34"/>
        <v>14.50943975924323</v>
      </c>
      <c r="AT126" s="10">
        <f t="shared" si="35"/>
        <v>37.211023851136503</v>
      </c>
    </row>
    <row r="127" spans="25:46" x14ac:dyDescent="0.35">
      <c r="Y127" s="10">
        <v>125</v>
      </c>
      <c r="Z127" s="10">
        <f t="shared" si="26"/>
        <v>5623.4132519034893</v>
      </c>
      <c r="AA127" s="10" t="str">
        <f t="shared" si="27"/>
        <v>35332,947520559i</v>
      </c>
      <c r="AC127" s="10">
        <f>1/(2*$T$3+$T$6*$T$2/('4. Boost Inductor'!$B$11*$T$3^2)*($T$5))</f>
        <v>0.32865720058048542</v>
      </c>
      <c r="AD127" s="10" t="str">
        <f t="shared" si="22"/>
        <v>0,00537155188631935-0,0193890126446947i</v>
      </c>
      <c r="AE127" s="10" t="str">
        <f t="shared" si="23"/>
        <v>0,996804347544738-0,0786763720233915i</v>
      </c>
      <c r="AF127" s="10" t="str">
        <f t="shared" si="28"/>
        <v>0,276849126327226-1,42799140945011i</v>
      </c>
      <c r="AG127" s="10">
        <f t="shared" si="36"/>
        <v>1.4545806626693001</v>
      </c>
      <c r="AH127" s="10">
        <f t="shared" si="37"/>
        <v>-1.379298894725933</v>
      </c>
      <c r="AI127" s="10">
        <f t="shared" si="38"/>
        <v>-79.028005354855196</v>
      </c>
      <c r="AJ127" s="10">
        <f t="shared" si="39"/>
        <v>3.2547561944506431</v>
      </c>
      <c r="AL127" s="10" t="str">
        <f t="shared" si="24"/>
        <v>0,017220015209093-0,00134333703315047i</v>
      </c>
      <c r="AM127" s="10" t="str">
        <f t="shared" si="25"/>
        <v>0,241207604725251-0,419110336137214i</v>
      </c>
      <c r="AN127" s="10" t="str">
        <f t="shared" si="29"/>
        <v>-1,39647945243014+2,93294361420058i</v>
      </c>
      <c r="AO127" s="10">
        <f t="shared" si="30"/>
        <v>3.2484324073527442</v>
      </c>
      <c r="AP127" s="10">
        <f t="shared" si="31"/>
        <v>2.0151709655995447</v>
      </c>
      <c r="AQ127" s="10">
        <f t="shared" si="32"/>
        <v>115.46079132615671</v>
      </c>
      <c r="AR127" s="10">
        <f t="shared" si="33"/>
        <v>10.233476689879829</v>
      </c>
      <c r="AS127" s="10">
        <f t="shared" si="34"/>
        <v>13.488232884330472</v>
      </c>
      <c r="AT127" s="10">
        <f t="shared" si="35"/>
        <v>36.432785971301513</v>
      </c>
    </row>
    <row r="128" spans="25:46" x14ac:dyDescent="0.35">
      <c r="Y128" s="10">
        <v>126</v>
      </c>
      <c r="Z128" s="10">
        <f t="shared" si="26"/>
        <v>6025.5958607435741</v>
      </c>
      <c r="AA128" s="10" t="str">
        <f t="shared" si="27"/>
        <v>37859,9353792262i</v>
      </c>
      <c r="AC128" s="10">
        <f>1/(2*$T$3+$T$6*$T$2/('4. Boost Inductor'!$B$11*$T$3^2)*($T$5))</f>
        <v>0.32865720058048542</v>
      </c>
      <c r="AD128" s="10" t="str">
        <f t="shared" si="22"/>
        <v>0,00532279689673242-0,0180957664189869i</v>
      </c>
      <c r="AE128" s="10" t="str">
        <f t="shared" si="23"/>
        <v>0,996331778471938-0,0842828753834474i</v>
      </c>
      <c r="AF128" s="10" t="str">
        <f t="shared" si="28"/>
        <v>0,273174561893975-1,33604466707115i</v>
      </c>
      <c r="AG128" s="10">
        <f t="shared" si="36"/>
        <v>1.3636860685932175</v>
      </c>
      <c r="AH128" s="10">
        <f t="shared" si="37"/>
        <v>-1.3691110714783474</v>
      </c>
      <c r="AI128" s="10">
        <f t="shared" si="38"/>
        <v>-78.444286080343289</v>
      </c>
      <c r="AJ128" s="10">
        <f t="shared" si="39"/>
        <v>2.6942880754768996</v>
      </c>
      <c r="AL128" s="10" t="str">
        <f t="shared" si="24"/>
        <v>0,0172197782762656-0,00125367536584893i</v>
      </c>
      <c r="AM128" s="10" t="str">
        <f t="shared" si="25"/>
        <v>0,217607647037111-0,403301650121616i</v>
      </c>
      <c r="AN128" s="10" t="str">
        <f t="shared" si="29"/>
        <v>-1,26072588391875+2,80711195786302i</v>
      </c>
      <c r="AO128" s="10">
        <f t="shared" si="30"/>
        <v>3.0772239597338813</v>
      </c>
      <c r="AP128" s="10">
        <f t="shared" si="31"/>
        <v>1.9929169467500514</v>
      </c>
      <c r="AQ128" s="10">
        <f t="shared" si="32"/>
        <v>114.18572996887617</v>
      </c>
      <c r="AR128" s="10">
        <f t="shared" si="33"/>
        <v>9.7631821052355701</v>
      </c>
      <c r="AS128" s="10">
        <f t="shared" si="34"/>
        <v>12.45747018071247</v>
      </c>
      <c r="AT128" s="10">
        <f t="shared" si="35"/>
        <v>35.741443888532885</v>
      </c>
    </row>
    <row r="129" spans="25:46" x14ac:dyDescent="0.35">
      <c r="Y129" s="10">
        <v>127</v>
      </c>
      <c r="Z129" s="10">
        <f t="shared" si="26"/>
        <v>6456.5422903465496</v>
      </c>
      <c r="AA129" s="10" t="str">
        <f t="shared" si="27"/>
        <v>40567,6516538891i</v>
      </c>
      <c r="AC129" s="10">
        <f>1/(2*$T$3+$T$6*$T$2/('4. Boost Inductor'!$B$11*$T$3^2)*($T$5))</f>
        <v>0.32865720058048542</v>
      </c>
      <c r="AD129" s="10" t="str">
        <f t="shared" si="22"/>
        <v>0,00528032918138897-0,0168886728673683i</v>
      </c>
      <c r="AE129" s="10" t="str">
        <f t="shared" si="23"/>
        <v>0,99578947554472-0,0902856728740294i</v>
      </c>
      <c r="AF129" s="10" t="str">
        <f t="shared" si="28"/>
        <v>0,269934055529652-1,25045722498188i</v>
      </c>
      <c r="AG129" s="10">
        <f t="shared" si="36"/>
        <v>1.2792605934070154</v>
      </c>
      <c r="AH129" s="10">
        <f t="shared" si="37"/>
        <v>-1.3581903939977933</v>
      </c>
      <c r="AI129" s="10">
        <f t="shared" si="38"/>
        <v>-77.818577351283977</v>
      </c>
      <c r="AJ129" s="10">
        <f t="shared" si="39"/>
        <v>2.1391804400148158</v>
      </c>
      <c r="AL129" s="10" t="str">
        <f t="shared" si="24"/>
        <v>0,0172195719163064-0,00116999817265288i</v>
      </c>
      <c r="AM129" s="10" t="str">
        <f t="shared" si="25"/>
        <v>0,195823547805593-0,386862606790011i</v>
      </c>
      <c r="AN129" s="10" t="str">
        <f t="shared" si="29"/>
        <v>-1,13542245410999+2,67999002070191i</v>
      </c>
      <c r="AO129" s="10">
        <f t="shared" si="30"/>
        <v>2.9105894008531976</v>
      </c>
      <c r="AP129" s="10">
        <f t="shared" si="31"/>
        <v>1.9715370919219977</v>
      </c>
      <c r="AQ129" s="10">
        <f t="shared" si="32"/>
        <v>112.9607545206263</v>
      </c>
      <c r="AR129" s="10">
        <f t="shared" si="33"/>
        <v>9.2796188698818334</v>
      </c>
      <c r="AS129" s="10">
        <f t="shared" si="34"/>
        <v>11.418799309896649</v>
      </c>
      <c r="AT129" s="10">
        <f t="shared" si="35"/>
        <v>35.142177169342318</v>
      </c>
    </row>
    <row r="130" spans="25:46" x14ac:dyDescent="0.35">
      <c r="Y130" s="10">
        <v>128</v>
      </c>
      <c r="Z130" s="10">
        <f t="shared" si="26"/>
        <v>6918.3097091893569</v>
      </c>
      <c r="AA130" s="10" t="str">
        <f t="shared" si="27"/>
        <v>43469,0219152964i</v>
      </c>
      <c r="AC130" s="10">
        <f>1/(2*$T$3+$T$6*$T$2/('4. Boost Inductor'!$B$11*$T$3^2)*($T$5))</f>
        <v>0.32865720058048542</v>
      </c>
      <c r="AD130" s="10" t="str">
        <f t="shared" ref="AD130:AD193" si="40">IMDIV(IMSUM(1,IMDIV(AA130,$W$3)),IMSUM(1,IMDIV(AA130,$W$5)))</f>
        <v>0,00524333839285087-0,0157620127107427i</v>
      </c>
      <c r="AE130" s="10" t="str">
        <f t="shared" ref="AE130:AE193" si="41">IMDIV(IMSUM(1,IMDIV(IMPRODUCT(-1,AA130),$W$4)),IMSUM(1,IMDIV(AA130,$W$1*$W$2),IMDIV(IMPOWER(AA130,2),$W$1^2)))</f>
        <v>0,995167195917592-0,0967120350276119i</v>
      </c>
      <c r="AF130" s="10" t="str">
        <f t="shared" si="28"/>
        <v>0,267065805546903-1,170823208116i</v>
      </c>
      <c r="AG130" s="10">
        <f t="shared" si="36"/>
        <v>1.2008959693310066</v>
      </c>
      <c r="AH130" s="10">
        <f t="shared" si="37"/>
        <v>-1.3465323883004976</v>
      </c>
      <c r="AI130" s="10">
        <f t="shared" si="38"/>
        <v>-77.150622827289467</v>
      </c>
      <c r="AJ130" s="10">
        <f t="shared" si="39"/>
        <v>1.5901077433562079</v>
      </c>
      <c r="AL130" s="10" t="str">
        <f t="shared" ref="AL130:AL193" si="42">IMDIV(IMSUM(1,IMDIV(AA130,wz1e)),IMSUM(1,IMDIV(AA130,wp1e)))</f>
        <v>0,0172193921842251-0,00109190602624199i</v>
      </c>
      <c r="AM130" s="10" t="str">
        <f t="shared" ref="AM130:AM193" si="43">IMDIV(IMSUM(1,IMDIV(AA130,wz2e)),IMSUM(1,IMDIV(AA130,wp2e)))</f>
        <v>0,175837455777876-0,370014101046651i</v>
      </c>
      <c r="AN130" s="10" t="str">
        <f t="shared" si="29"/>
        <v>-1,02046500938643+2,5526918576034i</v>
      </c>
      <c r="AO130" s="10">
        <f t="shared" si="30"/>
        <v>2.7491061375030146</v>
      </c>
      <c r="AP130" s="10">
        <f t="shared" si="31"/>
        <v>1.9510960984088688</v>
      </c>
      <c r="AQ130" s="10">
        <f t="shared" si="32"/>
        <v>111.78957186326971</v>
      </c>
      <c r="AR130" s="10">
        <f t="shared" si="33"/>
        <v>8.7838301482120684</v>
      </c>
      <c r="AS130" s="10">
        <f t="shared" si="34"/>
        <v>10.373937891568277</v>
      </c>
      <c r="AT130" s="10">
        <f t="shared" si="35"/>
        <v>34.638949035980247</v>
      </c>
    </row>
    <row r="131" spans="25:46" x14ac:dyDescent="0.35">
      <c r="Y131" s="10">
        <v>129</v>
      </c>
      <c r="Z131" s="10">
        <f t="shared" ref="Z131:Z194" si="44">10^(LOG($F$3/$F$2,10)*Y131/200)</f>
        <v>7413.1024130091646</v>
      </c>
      <c r="AA131" s="10" t="str">
        <f t="shared" ref="AA131:AA194" si="45">IMPRODUCT(COMPLEX(0,1),2*PI()*Z131)</f>
        <v>46577,8961620367i</v>
      </c>
      <c r="AC131" s="10">
        <f>1/(2*$T$3+$T$6*$T$2/('4. Boost Inductor'!$B$11*$T$3^2)*($T$5))</f>
        <v>0.32865720058048542</v>
      </c>
      <c r="AD131" s="10" t="str">
        <f t="shared" si="40"/>
        <v>0,00521111852123038-0,0147104426029344i</v>
      </c>
      <c r="AE131" s="10" t="str">
        <f t="shared" si="41"/>
        <v>0,994453207232932-0,103590938041395i</v>
      </c>
      <c r="AF131" s="10" t="str">
        <f t="shared" ref="AF131:AF194" si="46">IMPRODUCT(AB$2,AC131,AD131,AE131)</f>
        <v>0,264515112263698-1,09676448328762i</v>
      </c>
      <c r="AG131" s="10">
        <f t="shared" si="36"/>
        <v>1.1282112286345305</v>
      </c>
      <c r="AH131" s="10">
        <f t="shared" si="37"/>
        <v>-1.3341381050959162</v>
      </c>
      <c r="AI131" s="10">
        <f t="shared" si="38"/>
        <v>-76.440482709577068</v>
      </c>
      <c r="AJ131" s="10">
        <f t="shared" si="39"/>
        <v>1.0478083553987136</v>
      </c>
      <c r="AL131" s="10" t="str">
        <f t="shared" si="42"/>
        <v>0,0172192356440725-0,00101902615736991i</v>
      </c>
      <c r="AM131" s="10" t="str">
        <f t="shared" si="43"/>
        <v>0,157602976979943-0,352957346110594i</v>
      </c>
      <c r="AN131" s="10" t="str">
        <f t="shared" ref="AN131:AN194" si="47">IMPRODUCT($AK$2,AL131,AM131)</f>
        <v>-0,915585520591526+2,42622877945036i</v>
      </c>
      <c r="AO131" s="10">
        <f t="shared" ref="AO131:AO194" si="48">IMABS(AN131)</f>
        <v>2.5932379250176867</v>
      </c>
      <c r="AP131" s="10">
        <f t="shared" ref="AP131:AP194" si="49">IMARGUMENT(AN131)</f>
        <v>1.9316430280317758</v>
      </c>
      <c r="AQ131" s="10">
        <f t="shared" ref="AQ131:AQ194" si="50">AP131/(PI())*180</f>
        <v>110.67499303209132</v>
      </c>
      <c r="AR131" s="10">
        <f t="shared" ref="AR131:AR194" si="51">20*LOG(AO131,10)</f>
        <v>8.2768472870414218</v>
      </c>
      <c r="AS131" s="10">
        <f t="shared" ref="AS131:AS194" si="52">AR131+AJ131</f>
        <v>9.3246556424401348</v>
      </c>
      <c r="AT131" s="10">
        <f t="shared" ref="AT131:AT194" si="53">AQ131+AI131</f>
        <v>34.234510322514254</v>
      </c>
    </row>
    <row r="132" spans="25:46" x14ac:dyDescent="0.35">
      <c r="Y132" s="10">
        <v>130</v>
      </c>
      <c r="Z132" s="10">
        <f t="shared" si="44"/>
        <v>7943.2823472428154</v>
      </c>
      <c r="AA132" s="10" t="str">
        <f t="shared" si="45"/>
        <v>49909,114934975i</v>
      </c>
      <c r="AC132" s="10">
        <f>1/(2*$T$3+$T$6*$T$2/('4. Boost Inductor'!$B$11*$T$3^2)*($T$5))</f>
        <v>0.32865720058048542</v>
      </c>
      <c r="AD132" s="10" t="str">
        <f t="shared" si="40"/>
        <v>0,00518305448555173-0,0137289711235365i</v>
      </c>
      <c r="AE132" s="10" t="str">
        <f t="shared" si="41"/>
        <v>0,993634075776619-0,110953130309883i</v>
      </c>
      <c r="AF132" s="10" t="str">
        <f t="shared" si="46"/>
        <v>0,262233342483212-1,02792894088112i</v>
      </c>
      <c r="AG132" s="10">
        <f t="shared" si="36"/>
        <v>1.0608507121225395</v>
      </c>
      <c r="AH132" s="10">
        <f t="shared" si="37"/>
        <v>-1.3210155347256796</v>
      </c>
      <c r="AI132" s="10">
        <f t="shared" si="38"/>
        <v>-75.688614810999084</v>
      </c>
      <c r="AJ132" s="10">
        <f t="shared" si="39"/>
        <v>0.51308544498029907</v>
      </c>
      <c r="AL132" s="10" t="str">
        <f t="shared" si="42"/>
        <v>0,0172190993032587-0,000951010675923439i</v>
      </c>
      <c r="AM132" s="10" t="str">
        <f t="shared" si="43"/>
        <v>0,14105107827474-0,335871180519573i</v>
      </c>
      <c r="AN132" s="10" t="str">
        <f t="shared" si="47"/>
        <v>-0,820385993233399+2,30149317921701i</v>
      </c>
      <c r="AO132" s="10">
        <f t="shared" si="48"/>
        <v>2.443338705925965</v>
      </c>
      <c r="AP132" s="10">
        <f t="shared" si="49"/>
        <v>1.913212881023878</v>
      </c>
      <c r="AQ132" s="10">
        <f t="shared" si="50"/>
        <v>109.61902339273313</v>
      </c>
      <c r="AR132" s="10">
        <f t="shared" si="51"/>
        <v>7.7596734976225008</v>
      </c>
      <c r="AS132" s="10">
        <f t="shared" si="52"/>
        <v>8.272758942602799</v>
      </c>
      <c r="AT132" s="10">
        <f t="shared" si="53"/>
        <v>33.930408581734042</v>
      </c>
    </row>
    <row r="133" spans="25:46" x14ac:dyDescent="0.35">
      <c r="Y133" s="10">
        <v>131</v>
      </c>
      <c r="Z133" s="10">
        <f t="shared" si="44"/>
        <v>8511.3803820237626</v>
      </c>
      <c r="AA133" s="10" t="str">
        <f t="shared" si="45"/>
        <v>53478,5801601483i</v>
      </c>
      <c r="AC133" s="10">
        <f>1/(2*$T$3+$T$6*$T$2/('4. Boost Inductor'!$B$11*$T$3^2)*($T$5))</f>
        <v>0.32865720058048542</v>
      </c>
      <c r="AD133" s="10" t="str">
        <f t="shared" si="40"/>
        <v>0,00515861044212315-0,0128129361705808i</v>
      </c>
      <c r="AE133" s="10" t="str">
        <f t="shared" si="41"/>
        <v>0,992694426018429-0,118831191310801i</v>
      </c>
      <c r="AF133" s="10" t="str">
        <f t="shared" si="46"/>
        <v>0,260177009596696-0,963988875575293i</v>
      </c>
      <c r="AG133" s="10">
        <f t="shared" si="36"/>
        <v>0.99848216236225118</v>
      </c>
      <c r="AH133" s="10">
        <f t="shared" si="37"/>
        <v>-1.3071811692455646</v>
      </c>
      <c r="AI133" s="10">
        <f t="shared" si="38"/>
        <v>-74.895964056747019</v>
      </c>
      <c r="AJ133" s="10">
        <f t="shared" si="39"/>
        <v>-1.3193785757236315E-2</v>
      </c>
      <c r="AL133" s="10" t="str">
        <f t="shared" si="42"/>
        <v>0,0172189805553433-0,00088753491064888i</v>
      </c>
      <c r="AM133" s="10" t="str">
        <f t="shared" si="43"/>
        <v>0,126095788627054-0,318910805242135i</v>
      </c>
      <c r="AN133" s="10" t="str">
        <f t="shared" si="47"/>
        <v>-0,734371218136846+2,179250625115i</v>
      </c>
      <c r="AO133" s="10">
        <f t="shared" si="48"/>
        <v>2.2996596211378573</v>
      </c>
      <c r="AP133" s="10">
        <f t="shared" si="49"/>
        <v>1.8958283085461396</v>
      </c>
      <c r="AQ133" s="10">
        <f t="shared" si="50"/>
        <v>108.62296076111942</v>
      </c>
      <c r="AR133" s="10">
        <f t="shared" si="51"/>
        <v>7.2332711933865523</v>
      </c>
      <c r="AS133" s="10">
        <f t="shared" si="52"/>
        <v>7.2200774076293159</v>
      </c>
      <c r="AT133" s="10">
        <f t="shared" si="53"/>
        <v>33.726996704372397</v>
      </c>
    </row>
    <row r="134" spans="25:46" x14ac:dyDescent="0.35">
      <c r="Y134" s="10">
        <v>132</v>
      </c>
      <c r="Z134" s="10">
        <f t="shared" si="44"/>
        <v>9120.1083935590923</v>
      </c>
      <c r="AA134" s="10" t="str">
        <f t="shared" si="45"/>
        <v>57303,3310582957i</v>
      </c>
      <c r="AC134" s="10">
        <f>1/(2*$T$3+$T$6*$T$2/('4. Boost Inductor'!$B$11*$T$3^2)*($T$5))</f>
        <v>0.32865720058048542</v>
      </c>
      <c r="AD134" s="10" t="str">
        <f t="shared" si="40"/>
        <v>0,00513731959154256-0,0119579836973692i</v>
      </c>
      <c r="AE134" s="10" t="str">
        <f t="shared" si="41"/>
        <v>0,991616668158712-0,127259579589171i</v>
      </c>
      <c r="AF134" s="10" t="str">
        <f t="shared" si="46"/>
        <v>0,25830695246643-0,904639461079215i</v>
      </c>
      <c r="AG134" s="10">
        <f t="shared" si="36"/>
        <v>0.94079489594394961</v>
      </c>
      <c r="AH134" s="10">
        <f t="shared" si="37"/>
        <v>-1.2926616904221784</v>
      </c>
      <c r="AI134" s="10">
        <f t="shared" si="38"/>
        <v>-74.064059199437409</v>
      </c>
      <c r="AJ134" s="10">
        <f t="shared" si="39"/>
        <v>-0.53010094843252253</v>
      </c>
      <c r="AL134" s="10" t="str">
        <f t="shared" si="42"/>
        <v>0,0172188771302094-0,000828295859638083i</v>
      </c>
      <c r="AM134" s="10" t="str">
        <f t="shared" si="43"/>
        <v>0,112639427996819-0,302207702882812i</v>
      </c>
      <c r="AN134" s="10" t="str">
        <f t="shared" si="47"/>
        <v>-0,656978809608926+2,06013879202634i</v>
      </c>
      <c r="AO134" s="10">
        <f t="shared" si="48"/>
        <v>2.1623582031400135</v>
      </c>
      <c r="AP134" s="10">
        <f t="shared" si="49"/>
        <v>1.8795013718405333</v>
      </c>
      <c r="AQ134" s="10">
        <f t="shared" si="50"/>
        <v>107.68749619551095</v>
      </c>
      <c r="AR134" s="10">
        <f t="shared" si="51"/>
        <v>6.6985527633112891</v>
      </c>
      <c r="AS134" s="10">
        <f t="shared" si="52"/>
        <v>6.1684518148787664</v>
      </c>
      <c r="AT134" s="10">
        <f t="shared" si="53"/>
        <v>33.623436996073536</v>
      </c>
    </row>
    <row r="135" spans="25:46" x14ac:dyDescent="0.35">
      <c r="Y135" s="10">
        <v>133</v>
      </c>
      <c r="Z135" s="10">
        <f t="shared" si="44"/>
        <v>9772.3722095580997</v>
      </c>
      <c r="AA135" s="10" t="str">
        <f t="shared" si="45"/>
        <v>61401,6254833856i</v>
      </c>
      <c r="AC135" s="10">
        <f>1/(2*$T$3+$T$6*$T$2/('4. Boost Inductor'!$B$11*$T$3^2)*($T$5))</f>
        <v>0.32865720058048542</v>
      </c>
      <c r="AD135" s="10" t="str">
        <f t="shared" si="40"/>
        <v>0,00511877529337202-0,0111600477344908i</v>
      </c>
      <c r="AE135" s="10" t="str">
        <f t="shared" si="41"/>
        <v>0,990380690065965-0,136274665787732i</v>
      </c>
      <c r="AF135" s="10" t="str">
        <f t="shared" si="46"/>
        <v>0,256587598158721-0,849597313374585i</v>
      </c>
      <c r="AG135" s="10">
        <f t="shared" si="36"/>
        <v>0.88749805093992973</v>
      </c>
      <c r="AH135" s="10">
        <f t="shared" si="37"/>
        <v>-1.2774957476207585</v>
      </c>
      <c r="AI135" s="10">
        <f t="shared" si="38"/>
        <v>-73.195114684579238</v>
      </c>
      <c r="AJ135" s="10">
        <f t="shared" si="39"/>
        <v>-1.0366518407692058</v>
      </c>
      <c r="AL135" s="10" t="str">
        <f t="shared" si="42"/>
        <v>0,0172187870506655-0,000773010744192028i</v>
      </c>
      <c r="AM135" s="10" t="str">
        <f t="shared" si="43"/>
        <v>0,100577195920855-0,285870470483641i</v>
      </c>
      <c r="AN135" s="10" t="str">
        <f t="shared" si="47"/>
        <v>-0,587605565365915+1,94467168492746i</v>
      </c>
      <c r="AO135" s="10">
        <f t="shared" si="48"/>
        <v>2.031508863531637</v>
      </c>
      <c r="AP135" s="10">
        <f t="shared" si="49"/>
        <v>1.8642352744270805</v>
      </c>
      <c r="AQ135" s="10">
        <f t="shared" si="50"/>
        <v>106.81281324408452</v>
      </c>
      <c r="AR135" s="10">
        <f t="shared" si="51"/>
        <v>6.1563744301177445</v>
      </c>
      <c r="AS135" s="10">
        <f t="shared" si="52"/>
        <v>5.1197225893485392</v>
      </c>
      <c r="AT135" s="10">
        <f t="shared" si="53"/>
        <v>33.617698559505286</v>
      </c>
    </row>
    <row r="136" spans="25:46" x14ac:dyDescent="0.35">
      <c r="Y136" s="10">
        <v>134</v>
      </c>
      <c r="Z136" s="10">
        <f t="shared" si="44"/>
        <v>10471.285480509003</v>
      </c>
      <c r="AA136" s="10" t="str">
        <f t="shared" si="45"/>
        <v>65793,0270784171i</v>
      </c>
      <c r="AC136" s="10">
        <f>1/(2*$T$3+$T$6*$T$2/('4. Boost Inductor'!$B$11*$T$3^2)*($T$5))</f>
        <v>0.32865720058048542</v>
      </c>
      <c r="AD136" s="10" t="str">
        <f t="shared" si="40"/>
        <v>0,00510262332157676-0,0104153316362635i</v>
      </c>
      <c r="AE136" s="10" t="str">
        <f t="shared" si="41"/>
        <v>0,988963509796384-0,14591474571223i</v>
      </c>
      <c r="AF136" s="10" t="str">
        <f t="shared" si="46"/>
        <v>0,254986295280377-0,798599136537411i</v>
      </c>
      <c r="AG136" s="10">
        <f t="shared" si="36"/>
        <v>0.83831890808874754</v>
      </c>
      <c r="AH136" s="10">
        <f t="shared" si="37"/>
        <v>-1.261735772283916</v>
      </c>
      <c r="AI136" s="10">
        <f t="shared" si="38"/>
        <v>-72.292134612547898</v>
      </c>
      <c r="AJ136" s="10">
        <f t="shared" si="39"/>
        <v>-1.5318147663878929</v>
      </c>
      <c r="AL136" s="10" t="str">
        <f t="shared" si="42"/>
        <v>0,0172187085946491-0,000721415659170531i</v>
      </c>
      <c r="AM136" s="10" t="str">
        <f t="shared" si="43"/>
        <v>0,0898010394854623-0,269986306160987i</v>
      </c>
      <c r="AN136" s="10" t="str">
        <f t="shared" si="47"/>
        <v>-0,525629686318534+1,83324765841634i</v>
      </c>
      <c r="AO136" s="10">
        <f t="shared" si="48"/>
        <v>1.9071139305841991</v>
      </c>
      <c r="AP136" s="10">
        <f t="shared" si="49"/>
        <v>1.850026012463903</v>
      </c>
      <c r="AQ136" s="10">
        <f t="shared" si="50"/>
        <v>105.99868250359867</v>
      </c>
      <c r="AR136" s="10">
        <f t="shared" si="51"/>
        <v>5.6075327696360322</v>
      </c>
      <c r="AS136" s="10">
        <f t="shared" si="52"/>
        <v>4.0757180032481397</v>
      </c>
      <c r="AT136" s="10">
        <f t="shared" si="53"/>
        <v>33.706547891050775</v>
      </c>
    </row>
    <row r="137" spans="25:46" x14ac:dyDescent="0.35">
      <c r="Y137" s="10">
        <v>135</v>
      </c>
      <c r="Z137" s="10">
        <f t="shared" si="44"/>
        <v>11220.184543019639</v>
      </c>
      <c r="AA137" s="10" t="str">
        <f t="shared" si="45"/>
        <v>70498,4986645445i</v>
      </c>
      <c r="AC137" s="10">
        <f>1/(2*$T$3+$T$6*$T$2/('4. Boost Inductor'!$B$11*$T$3^2)*($T$5))</f>
        <v>0.32865720058048542</v>
      </c>
      <c r="AD137" s="10" t="str">
        <f t="shared" si="40"/>
        <v>0,00508855511491894-0,00972029049022915i</v>
      </c>
      <c r="AE137" s="10" t="str">
        <f t="shared" si="41"/>
        <v>0,987338884765508-0,156220027270772i</v>
      </c>
      <c r="AF137" s="10" t="str">
        <f t="shared" si="46"/>
        <v>0,253472706162783-0,751400444817898i</v>
      </c>
      <c r="AG137" s="10">
        <f t="shared" si="36"/>
        <v>0.79300128703679895</v>
      </c>
      <c r="AH137" s="10">
        <f t="shared" si="37"/>
        <v>-1.2454497568658545</v>
      </c>
      <c r="AI137" s="10">
        <f t="shared" si="38"/>
        <v>-71.359014664007987</v>
      </c>
      <c r="AJ137" s="10">
        <f t="shared" si="39"/>
        <v>-2.0145221564845892</v>
      </c>
      <c r="AL137" s="10" t="str">
        <f t="shared" si="42"/>
        <v>0,0172186402623054-0,000673264313394962i</v>
      </c>
      <c r="AM137" s="10" t="str">
        <f t="shared" si="43"/>
        <v>0,0802027889630477-0,254622917652785i</v>
      </c>
      <c r="AN137" s="10" t="str">
        <f t="shared" si="47"/>
        <v>-0,47042878852348+1,72615989664496i</v>
      </c>
      <c r="AO137" s="10">
        <f t="shared" si="48"/>
        <v>1.7891146508418649</v>
      </c>
      <c r="AP137" s="10">
        <f t="shared" si="49"/>
        <v>1.83686390573696</v>
      </c>
      <c r="AQ137" s="10">
        <f t="shared" si="50"/>
        <v>105.24454933864411</v>
      </c>
      <c r="AR137" s="10">
        <f t="shared" si="51"/>
        <v>5.0527634422309644</v>
      </c>
      <c r="AS137" s="10">
        <f t="shared" si="52"/>
        <v>3.0382412857463752</v>
      </c>
      <c r="AT137" s="10">
        <f t="shared" si="53"/>
        <v>33.885534674636119</v>
      </c>
    </row>
    <row r="138" spans="25:46" x14ac:dyDescent="0.35">
      <c r="Y138" s="10">
        <v>136</v>
      </c>
      <c r="Z138" s="10">
        <f t="shared" si="44"/>
        <v>12022.644346174109</v>
      </c>
      <c r="AA138" s="10" t="str">
        <f t="shared" si="45"/>
        <v>75540,5023093269i</v>
      </c>
      <c r="AC138" s="10">
        <f>1/(2*$T$3+$T$6*$T$2/('4. Boost Inductor'!$B$11*$T$3^2)*($T$5))</f>
        <v>0.32865720058048542</v>
      </c>
      <c r="AD138" s="10" t="str">
        <f t="shared" si="40"/>
        <v>0,00507630189497622-0,00907161462863466i</v>
      </c>
      <c r="AE138" s="10" t="str">
        <f t="shared" si="41"/>
        <v>0,985476873632287-0,167232583758748i</v>
      </c>
      <c r="AF138" s="10" t="str">
        <f t="shared" si="46"/>
        <v>0,252018247473008-0,707774354262571i</v>
      </c>
      <c r="AG138" s="10">
        <f t="shared" si="36"/>
        <v>0.75130402209169989</v>
      </c>
      <c r="AH138" s="10">
        <f t="shared" si="37"/>
        <v>-1.2287229072750465</v>
      </c>
      <c r="AI138" s="10">
        <f t="shared" si="38"/>
        <v>-70.400636777904566</v>
      </c>
      <c r="AJ138" s="10">
        <f t="shared" si="39"/>
        <v>-2.4836857233364782</v>
      </c>
      <c r="AL138" s="10" t="str">
        <f t="shared" si="42"/>
        <v>0,017218580747314-0,000628326854099014i</v>
      </c>
      <c r="AM138" s="10" t="str">
        <f t="shared" si="43"/>
        <v>0,0716765982126716-0,239830658820834i</v>
      </c>
      <c r="AN138" s="10" t="str">
        <f t="shared" si="47"/>
        <v>-0,421393920319782+1,62360823638976i</v>
      </c>
      <c r="AO138" s="10">
        <f t="shared" si="48"/>
        <v>1.6774017233075509</v>
      </c>
      <c r="AP138" s="10">
        <f t="shared" si="49"/>
        <v>1.824734986723521</v>
      </c>
      <c r="AQ138" s="10">
        <f t="shared" si="50"/>
        <v>104.54961346911806</v>
      </c>
      <c r="AR138" s="10">
        <f t="shared" si="51"/>
        <v>4.4927416972317094</v>
      </c>
      <c r="AS138" s="10">
        <f t="shared" si="52"/>
        <v>2.0090559738952312</v>
      </c>
      <c r="AT138" s="10">
        <f t="shared" si="53"/>
        <v>34.148976691213491</v>
      </c>
    </row>
    <row r="139" spans="25:46" x14ac:dyDescent="0.35">
      <c r="Y139" s="10">
        <v>137</v>
      </c>
      <c r="Z139" s="10">
        <f t="shared" si="44"/>
        <v>12882.495516931338</v>
      </c>
      <c r="AA139" s="10" t="str">
        <f t="shared" si="45"/>
        <v>80943,1065517899i</v>
      </c>
      <c r="AC139" s="10">
        <f>1/(2*$T$3+$T$6*$T$2/('4. Boost Inductor'!$B$11*$T$3^2)*($T$5))</f>
        <v>0.32865720058048542</v>
      </c>
      <c r="AD139" s="10" t="str">
        <f t="shared" si="40"/>
        <v>0,00506562954063081-0,00846621418181635i</v>
      </c>
      <c r="AE139" s="10" t="str">
        <f t="shared" si="41"/>
        <v>0,983343347109479-0,178996264345648i</v>
      </c>
      <c r="AF139" s="10" t="str">
        <f t="shared" si="46"/>
        <v>0,250595570049495-0,667510436742068i</v>
      </c>
      <c r="AG139" s="10">
        <f t="shared" si="36"/>
        <v>0.71299952516675469</v>
      </c>
      <c r="AH139" s="10">
        <f t="shared" si="37"/>
        <v>-1.2116590613745764</v>
      </c>
      <c r="AI139" s="10">
        <f t="shared" si="38"/>
        <v>-69.422950425546006</v>
      </c>
      <c r="AJ139" s="10">
        <f t="shared" si="39"/>
        <v>-2.9382151874655476</v>
      </c>
      <c r="AL139" s="10" t="str">
        <f t="shared" si="42"/>
        <v>0,0172185289119178-0,000586388769822383i</v>
      </c>
      <c r="AM139" s="10" t="str">
        <f t="shared" si="43"/>
        <v>0,0641207578994553-0,225644741267918i</v>
      </c>
      <c r="AN139" s="10" t="str">
        <f t="shared" si="47"/>
        <v>-0,377939975640997+1,52571145249342i</v>
      </c>
      <c r="AO139" s="10">
        <f t="shared" si="48"/>
        <v>1.5718250734280514</v>
      </c>
      <c r="AP139" s="10">
        <f t="shared" si="49"/>
        <v>1.8136222373329771</v>
      </c>
      <c r="AQ139" s="10">
        <f t="shared" si="50"/>
        <v>103.91289983025332</v>
      </c>
      <c r="AR139" s="10">
        <f t="shared" si="51"/>
        <v>3.9280842453646629</v>
      </c>
      <c r="AS139" s="10">
        <f t="shared" si="52"/>
        <v>0.98986905789911539</v>
      </c>
      <c r="AT139" s="10">
        <f t="shared" si="53"/>
        <v>34.489949404707318</v>
      </c>
    </row>
    <row r="140" spans="25:46" x14ac:dyDescent="0.35">
      <c r="Y140" s="10">
        <v>138</v>
      </c>
      <c r="Z140" s="10">
        <f t="shared" si="44"/>
        <v>13803.842646028841</v>
      </c>
      <c r="AA140" s="10" t="str">
        <f t="shared" si="45"/>
        <v>86732,1012961474i</v>
      </c>
      <c r="AC140" s="10">
        <f>1/(2*$T$3+$T$6*$T$2/('4. Boost Inductor'!$B$11*$T$3^2)*($T$5))</f>
        <v>0.32865720058048542</v>
      </c>
      <c r="AD140" s="10" t="str">
        <f t="shared" si="40"/>
        <v>0,00505633412202476-0,00790120461490272i</v>
      </c>
      <c r="AE140" s="10" t="str">
        <f t="shared" si="41"/>
        <v>0,980899444299017-0,191556550729319i</v>
      </c>
      <c r="AF140" s="10" t="str">
        <f t="shared" si="46"/>
        <v>0,249178069901801-0,63041362878053i</v>
      </c>
      <c r="AG140" s="10">
        <f t="shared" si="36"/>
        <v>0.6778724466094066</v>
      </c>
      <c r="AH140" s="10">
        <f t="shared" si="37"/>
        <v>-1.1943817547793807</v>
      </c>
      <c r="AI140" s="10">
        <f t="shared" si="38"/>
        <v>-68.433033676287749</v>
      </c>
      <c r="AJ140" s="10">
        <f t="shared" si="39"/>
        <v>-3.3770403688294461</v>
      </c>
      <c r="AL140" s="10" t="str">
        <f t="shared" si="42"/>
        <v>0,0172184837651705-0,000547249866515209i</v>
      </c>
      <c r="AM140" s="10" t="str">
        <f t="shared" si="43"/>
        <v>0,0574389658689803-0,212087407666575i</v>
      </c>
      <c r="AN140" s="10" t="str">
        <f t="shared" si="47"/>
        <v>-0,339512988111896+1,43251935175434i</v>
      </c>
      <c r="AO140" s="10">
        <f t="shared" si="48"/>
        <v>1.4722026906127235</v>
      </c>
      <c r="AP140" s="10">
        <f t="shared" si="49"/>
        <v>1.80350667223439</v>
      </c>
      <c r="AQ140" s="10">
        <f t="shared" si="50"/>
        <v>103.33332064271444</v>
      </c>
      <c r="AR140" s="10">
        <f t="shared" si="51"/>
        <v>3.3593521423478268</v>
      </c>
      <c r="AS140" s="10">
        <f t="shared" si="52"/>
        <v>-1.7688226481619385E-2</v>
      </c>
      <c r="AT140" s="10">
        <f t="shared" si="53"/>
        <v>34.900286966426691</v>
      </c>
    </row>
    <row r="141" spans="25:46" x14ac:dyDescent="0.35">
      <c r="Y141" s="10">
        <v>139</v>
      </c>
      <c r="Z141" s="10">
        <f t="shared" si="44"/>
        <v>14791.083881682063</v>
      </c>
      <c r="AA141" s="10" t="str">
        <f t="shared" si="45"/>
        <v>92935,1209226455i</v>
      </c>
      <c r="AC141" s="10">
        <f>1/(2*$T$3+$T$6*$T$2/('4. Boost Inductor'!$B$11*$T$3^2)*($T$5))</f>
        <v>0.32865720058048542</v>
      </c>
      <c r="AD141" s="10" t="str">
        <f t="shared" si="40"/>
        <v>0,00504823800934729-0,00737389319111347i</v>
      </c>
      <c r="AE141" s="10" t="str">
        <f t="shared" si="41"/>
        <v>0,978100971854841-0,20496034673341i</v>
      </c>
      <c r="AF141" s="10" t="str">
        <f t="shared" si="46"/>
        <v>0,247739423424044-0,596303187050348i</v>
      </c>
      <c r="AG141" s="10">
        <f t="shared" si="36"/>
        <v>0.64571844700680503</v>
      </c>
      <c r="AH141" s="10">
        <f t="shared" si="37"/>
        <v>-1.177034812267757</v>
      </c>
      <c r="AI141" s="10">
        <f t="shared" si="38"/>
        <v>-67.439127082915647</v>
      </c>
      <c r="AJ141" s="10">
        <f t="shared" si="39"/>
        <v>-3.7991361281995828</v>
      </c>
      <c r="AL141" s="10" t="str">
        <f t="shared" si="42"/>
        <v>0,017218444443994-0,000510723311969983i</v>
      </c>
      <c r="AM141" s="10" t="str">
        <f t="shared" si="43"/>
        <v>0,0515411442184559-0,199169988276683i</v>
      </c>
      <c r="AN141" s="10" t="str">
        <f t="shared" si="47"/>
        <v>-0,305594820486639+1,34402422198284i</v>
      </c>
      <c r="AO141" s="10">
        <f t="shared" si="48"/>
        <v>1.3783284454674942</v>
      </c>
      <c r="AP141" s="10">
        <f t="shared" si="49"/>
        <v>1.794368274360908</v>
      </c>
      <c r="AQ141" s="10">
        <f t="shared" si="50"/>
        <v>102.80972901305259</v>
      </c>
      <c r="AR141" s="10">
        <f t="shared" si="51"/>
        <v>2.7870543812944892</v>
      </c>
      <c r="AS141" s="10">
        <f t="shared" si="52"/>
        <v>-1.0120817469050936</v>
      </c>
      <c r="AT141" s="10">
        <f t="shared" si="53"/>
        <v>35.370601930136942</v>
      </c>
    </row>
    <row r="142" spans="25:46" x14ac:dyDescent="0.35">
      <c r="Y142" s="10">
        <v>140</v>
      </c>
      <c r="Z142" s="10">
        <f t="shared" si="44"/>
        <v>15848.931924611119</v>
      </c>
      <c r="AA142" s="10" t="str">
        <f t="shared" si="45"/>
        <v>99581,7762032061i</v>
      </c>
      <c r="AC142" s="10">
        <f>1/(2*$T$3+$T$6*$T$2/('4. Boost Inductor'!$B$11*$T$3^2)*($T$5))</f>
        <v>0.32865720058048542</v>
      </c>
      <c r="AD142" s="10" t="str">
        <f t="shared" si="40"/>
        <v>0,00504118648262982-0,00688176630705619i</v>
      </c>
      <c r="AE142" s="10" t="str">
        <f t="shared" si="41"/>
        <v>0,974897744410739-0,219255685120372i</v>
      </c>
      <c r="AF142" s="10" t="str">
        <f t="shared" si="46"/>
        <v>0,246253141000263-0,565011681787275i</v>
      </c>
      <c r="AG142" s="10">
        <f t="shared" si="36"/>
        <v>0.61634309439514312</v>
      </c>
      <c r="AH142" s="10">
        <f t="shared" si="37"/>
        <v>-1.1597823515795747</v>
      </c>
      <c r="AI142" s="10">
        <f t="shared" si="38"/>
        <v>-66.45063389926743</v>
      </c>
      <c r="AJ142" s="10">
        <f t="shared" si="39"/>
        <v>-4.2035493111758244</v>
      </c>
      <c r="AL142" s="10" t="str">
        <f t="shared" si="42"/>
        <v>0,0172184101966784-0,000476634744022719i</v>
      </c>
      <c r="AM142" s="10" t="str">
        <f t="shared" si="43"/>
        <v>0,0463438901358376-0,186894791108002i</v>
      </c>
      <c r="AN142" s="10" t="str">
        <f t="shared" si="47"/>
        <v>-0,275705749804108+1,26017134964996i</v>
      </c>
      <c r="AO142" s="10">
        <f t="shared" si="48"/>
        <v>1.2899788722896381</v>
      </c>
      <c r="AP142" s="10">
        <f t="shared" si="49"/>
        <v>1.7861867926104156</v>
      </c>
      <c r="AQ142" s="10">
        <f t="shared" si="50"/>
        <v>102.34096463858607</v>
      </c>
      <c r="AR142" s="10">
        <f t="shared" si="51"/>
        <v>2.2116519467110889</v>
      </c>
      <c r="AS142" s="10">
        <f t="shared" si="52"/>
        <v>-1.9918973644647355</v>
      </c>
      <c r="AT142" s="10">
        <f t="shared" si="53"/>
        <v>35.890330739318642</v>
      </c>
    </row>
    <row r="143" spans="25:46" x14ac:dyDescent="0.35">
      <c r="Y143" s="10">
        <v>141</v>
      </c>
      <c r="Z143" s="10">
        <f t="shared" si="44"/>
        <v>16982.436524617453</v>
      </c>
      <c r="AA143" s="10" t="str">
        <f t="shared" si="45"/>
        <v>106703,795651586i</v>
      </c>
      <c r="AC143" s="10">
        <f>1/(2*$T$3+$T$6*$T$2/('4. Boost Inductor'!$B$11*$T$3^2)*($T$5))</f>
        <v>0.32865720058048542</v>
      </c>
      <c r="AD143" s="10" t="str">
        <f t="shared" si="40"/>
        <v>0,00503504477816637-0,00642247764771188i</v>
      </c>
      <c r="AE143" s="10" t="str">
        <f t="shared" si="41"/>
        <v>0,971232866417341-0,234491333076904i</v>
      </c>
      <c r="AF143" s="10" t="str">
        <f t="shared" si="46"/>
        <v>0,244692134383461-0,536384018689097i</v>
      </c>
      <c r="AG143" s="10">
        <f t="shared" si="36"/>
        <v>0.58956090112404791</v>
      </c>
      <c r="AH143" s="10">
        <f t="shared" si="37"/>
        <v>-1.1428081082911117</v>
      </c>
      <c r="AI143" s="10">
        <f t="shared" si="38"/>
        <v>-65.478081398410239</v>
      </c>
      <c r="AJ143" s="10">
        <f t="shared" si="39"/>
        <v>-4.5894265202501643</v>
      </c>
      <c r="AL143" s="10" t="str">
        <f t="shared" si="42"/>
        <v>0,0172183803685115-0,000444821438269143i</v>
      </c>
      <c r="AM143" s="10" t="str">
        <f t="shared" si="43"/>
        <v>0,0417706403104815-0,17525679899869i</v>
      </c>
      <c r="AN143" s="10" t="str">
        <f t="shared" si="47"/>
        <v>-0,249405406877695+1,18086845082261i</v>
      </c>
      <c r="AO143" s="10">
        <f t="shared" si="48"/>
        <v>1.2069189513500977</v>
      </c>
      <c r="AP143" s="10">
        <f t="shared" si="49"/>
        <v>1.7789424143649191</v>
      </c>
      <c r="AQ143" s="10">
        <f t="shared" si="50"/>
        <v>101.92589233992274</v>
      </c>
      <c r="AR143" s="10">
        <f t="shared" si="51"/>
        <v>1.6335621349501894</v>
      </c>
      <c r="AS143" s="10">
        <f t="shared" si="52"/>
        <v>-2.9558643852999751</v>
      </c>
      <c r="AT143" s="10">
        <f t="shared" si="53"/>
        <v>36.4478109415125</v>
      </c>
    </row>
    <row r="144" spans="25:46" x14ac:dyDescent="0.35">
      <c r="Y144" s="10">
        <v>142</v>
      </c>
      <c r="Z144" s="10">
        <f t="shared" si="44"/>
        <v>18197.008586099837</v>
      </c>
      <c r="AA144" s="10" t="str">
        <f t="shared" si="45"/>
        <v>114335,176982803i</v>
      </c>
      <c r="AC144" s="10">
        <f>1/(2*$T$3+$T$6*$T$2/('4. Boost Inductor'!$B$11*$T$3^2)*($T$5))</f>
        <v>0.32865720058048542</v>
      </c>
      <c r="AD144" s="10" t="str">
        <f t="shared" si="40"/>
        <v>0,00502969551541948-0,0059938371111896i</v>
      </c>
      <c r="AE144" s="10" t="str">
        <f t="shared" si="41"/>
        <v>0,967041957983718-0,250716274728292i</v>
      </c>
      <c r="AF144" s="10" t="str">
        <f t="shared" si="46"/>
        <v>0,243028294573718-0,510276479089646i</v>
      </c>
      <c r="AG144" s="10">
        <f t="shared" si="36"/>
        <v>0.56519451260210929</v>
      </c>
      <c r="AH144" s="10">
        <f t="shared" si="37"/>
        <v>-1.1263140262551981</v>
      </c>
      <c r="AI144" s="10">
        <f t="shared" si="38"/>
        <v>-64.533040110809836</v>
      </c>
      <c r="AJ144" s="10">
        <f t="shared" si="39"/>
        <v>-4.9560412662003914</v>
      </c>
      <c r="AL144" s="10" t="str">
        <f t="shared" si="42"/>
        <v>0,0172183543892627-0,000415131531325137i</v>
      </c>
      <c r="AM144" s="10" t="str">
        <f t="shared" si="43"/>
        <v>0,0377516188980536-0,164245163946575i</v>
      </c>
      <c r="AN144" s="10" t="str">
        <f t="shared" si="47"/>
        <v>-0,226292472298719+1,10599395828915i</v>
      </c>
      <c r="AO144" s="10">
        <f t="shared" si="48"/>
        <v>1.1289069575439636</v>
      </c>
      <c r="AP144" s="10">
        <f t="shared" si="49"/>
        <v>1.7726163266459956</v>
      </c>
      <c r="AQ144" s="10">
        <f t="shared" si="50"/>
        <v>101.56343421279887</v>
      </c>
      <c r="AR144" s="10">
        <f t="shared" si="51"/>
        <v>1.0531629927887589</v>
      </c>
      <c r="AS144" s="10">
        <f t="shared" si="52"/>
        <v>-3.9028782734116323</v>
      </c>
      <c r="AT144" s="10">
        <f t="shared" si="53"/>
        <v>37.030394101989032</v>
      </c>
    </row>
    <row r="145" spans="25:46" x14ac:dyDescent="0.35">
      <c r="Y145" s="10">
        <v>143</v>
      </c>
      <c r="Z145" s="10">
        <f t="shared" si="44"/>
        <v>19498.445997580417</v>
      </c>
      <c r="AA145" s="10" t="str">
        <f t="shared" si="45"/>
        <v>122512,349404832i</v>
      </c>
      <c r="AC145" s="10">
        <f>1/(2*$T$3+$T$6*$T$2/('4. Boost Inductor'!$B$11*$T$3^2)*($T$5))</f>
        <v>0.32865720058048542</v>
      </c>
      <c r="AD145" s="10" t="str">
        <f t="shared" si="40"/>
        <v>0,00502503645546895-0,00559380045576913i</v>
      </c>
      <c r="AE145" s="10" t="str">
        <f t="shared" si="41"/>
        <v>0,962252330723807-0,267979045718458i</v>
      </c>
      <c r="AF145" s="10" t="str">
        <f t="shared" si="46"/>
        <v>0,241232078478972-0,486555767365345i</v>
      </c>
      <c r="AG145" s="10">
        <f t="shared" si="36"/>
        <v>0.54307405613209392</v>
      </c>
      <c r="AH145" s="10">
        <f t="shared" si="37"/>
        <v>-1.1105181058973987</v>
      </c>
      <c r="AI145" s="10">
        <f t="shared" si="38"/>
        <v>-63.628000540783162</v>
      </c>
      <c r="AJ145" s="10">
        <f t="shared" si="39"/>
        <v>-5.3028188787008705</v>
      </c>
      <c r="AL145" s="10" t="str">
        <f t="shared" si="42"/>
        <v>0,0172183317622818-0,000387423295925429i</v>
      </c>
      <c r="AM145" s="10" t="str">
        <f t="shared" si="43"/>
        <v>0,0342236282710366-0,153844501120701i</v>
      </c>
      <c r="AN145" s="10" t="str">
        <f t="shared" si="47"/>
        <v>-0,20600346934359+1,03540417738463i</v>
      </c>
      <c r="AO145" s="10">
        <f t="shared" si="48"/>
        <v>1.0556984607013207</v>
      </c>
      <c r="AP145" s="10">
        <f t="shared" si="49"/>
        <v>1.7671911798836681</v>
      </c>
      <c r="AQ145" s="10">
        <f t="shared" si="50"/>
        <v>101.25259620007846</v>
      </c>
      <c r="AR145" s="10">
        <f t="shared" si="51"/>
        <v>0.4707977663360744</v>
      </c>
      <c r="AS145" s="10">
        <f t="shared" si="52"/>
        <v>-4.8320211123647958</v>
      </c>
      <c r="AT145" s="10">
        <f t="shared" si="53"/>
        <v>37.624595659295295</v>
      </c>
    </row>
    <row r="146" spans="25:46" x14ac:dyDescent="0.35">
      <c r="Y146" s="10">
        <v>144</v>
      </c>
      <c r="Z146" s="10">
        <f t="shared" si="44"/>
        <v>20892.961308540387</v>
      </c>
      <c r="AA146" s="10" t="str">
        <f t="shared" si="45"/>
        <v>131274,347517293i</v>
      </c>
      <c r="AC146" s="10">
        <f>1/(2*$T$3+$T$6*$T$2/('4. Boost Inductor'!$B$11*$T$3^2)*($T$5))</f>
        <v>0.32865720058048542</v>
      </c>
      <c r="AD146" s="10" t="str">
        <f t="shared" si="40"/>
        <v>0,00502097854833748-0,00522045962418889i</v>
      </c>
      <c r="AE146" s="10" t="str">
        <f t="shared" si="41"/>
        <v>0,95678212421149-0,286326891476343i</v>
      </c>
      <c r="AF146" s="10" t="str">
        <f t="shared" si="46"/>
        <v>0,239272104498908-0,465098053667455i</v>
      </c>
      <c r="AG146" s="10">
        <f t="shared" si="36"/>
        <v>0.52303665217324036</v>
      </c>
      <c r="AH146" s="10">
        <f t="shared" si="37"/>
        <v>-1.0956515580333606</v>
      </c>
      <c r="AI146" s="10">
        <f t="shared" si="38"/>
        <v>-62.776210092244547</v>
      </c>
      <c r="AJ146" s="10">
        <f t="shared" si="39"/>
        <v>-5.6293575313027731</v>
      </c>
      <c r="AL146" s="10" t="str">
        <f t="shared" si="42"/>
        <v>0,0172183120550045-0,000361564464401639i</v>
      </c>
      <c r="AM146" s="10" t="str">
        <f t="shared" si="43"/>
        <v>0,0311297311902247-0,144035993004156i</v>
      </c>
      <c r="AN146" s="10" t="str">
        <f t="shared" si="47"/>
        <v>-0,188210933277511+0,968939369243539i</v>
      </c>
      <c r="AO146" s="10">
        <f t="shared" si="48"/>
        <v>0.98704957153896722</v>
      </c>
      <c r="AP146" s="10">
        <f t="shared" si="49"/>
        <v>1.7626514677142979</v>
      </c>
      <c r="AQ146" s="10">
        <f t="shared" si="50"/>
        <v>100.99248985256935</v>
      </c>
      <c r="AR146" s="10">
        <f t="shared" si="51"/>
        <v>-0.11322071347213375</v>
      </c>
      <c r="AS146" s="10">
        <f t="shared" si="52"/>
        <v>-5.742578244774907</v>
      </c>
      <c r="AT146" s="10">
        <f t="shared" si="53"/>
        <v>38.216279760324802</v>
      </c>
    </row>
    <row r="147" spans="25:46" x14ac:dyDescent="0.35">
      <c r="Y147" s="10">
        <v>145</v>
      </c>
      <c r="Z147" s="10">
        <f t="shared" si="44"/>
        <v>22387.211385683382</v>
      </c>
      <c r="AA147" s="10" t="str">
        <f t="shared" si="45"/>
        <v>140662,997647249i</v>
      </c>
      <c r="AC147" s="10">
        <f>1/(2*$T$3+$T$6*$T$2/('4. Boost Inductor'!$B$11*$T$3^2)*($T$5))</f>
        <v>0.32865720058048542</v>
      </c>
      <c r="AD147" s="10" t="str">
        <f t="shared" si="40"/>
        <v>0,00501744423200594-0,00487203370255224i</v>
      </c>
      <c r="AE147" s="10" t="str">
        <f t="shared" si="41"/>
        <v>0,950539419729641-0,305804717478278i</v>
      </c>
      <c r="AF147" s="10" t="str">
        <f t="shared" si="46"/>
        <v>0,23711475942154-0,44578799923956i</v>
      </c>
      <c r="AG147" s="10">
        <f t="shared" si="36"/>
        <v>0.5049260831067699</v>
      </c>
      <c r="AH147" s="10">
        <f t="shared" si="37"/>
        <v>-1.0819553671568687</v>
      </c>
      <c r="AI147" s="10">
        <f t="shared" si="38"/>
        <v>-61.991476159615978</v>
      </c>
      <c r="AJ147" s="10">
        <f t="shared" si="39"/>
        <v>-5.9354438850898514</v>
      </c>
      <c r="AL147" s="10" t="str">
        <f t="shared" si="42"/>
        <v>0,0172182948906828-0,000337431597311449i</v>
      </c>
      <c r="AM147" s="10" t="str">
        <f t="shared" si="43"/>
        <v>0,0284188632519466-0,134798318972886i</v>
      </c>
      <c r="AN147" s="10" t="str">
        <f t="shared" si="47"/>
        <v>-0,172621180335209+0,906428848198316i</v>
      </c>
      <c r="AO147" s="10">
        <f t="shared" si="48"/>
        <v>0.92271952875532381</v>
      </c>
      <c r="AP147" s="10">
        <f t="shared" si="49"/>
        <v>1.758983835188286</v>
      </c>
      <c r="AQ147" s="10">
        <f t="shared" si="50"/>
        <v>100.78234998802398</v>
      </c>
      <c r="AR147" s="10">
        <f t="shared" si="51"/>
        <v>-0.69860575465746177</v>
      </c>
      <c r="AS147" s="10">
        <f t="shared" si="52"/>
        <v>-6.634049639747313</v>
      </c>
      <c r="AT147" s="10">
        <f t="shared" si="53"/>
        <v>38.790873828408003</v>
      </c>
    </row>
    <row r="148" spans="25:46" x14ac:dyDescent="0.35">
      <c r="Y148" s="10">
        <v>146</v>
      </c>
      <c r="Z148" s="10">
        <f t="shared" si="44"/>
        <v>23988.32919019488</v>
      </c>
      <c r="AA148" s="10" t="str">
        <f t="shared" si="45"/>
        <v>150723,11751162i</v>
      </c>
      <c r="AC148" s="10">
        <f>1/(2*$T$3+$T$6*$T$2/('4. Boost Inductor'!$B$11*$T$3^2)*($T$5))</f>
        <v>0.32865720058048542</v>
      </c>
      <c r="AD148" s="10" t="str">
        <f t="shared" si="40"/>
        <v>0,00501436595070771-0,00454686047358767i</v>
      </c>
      <c r="AE148" s="10" t="str">
        <f t="shared" si="41"/>
        <v>0,943421355860339-0,326453796920692i</v>
      </c>
      <c r="AF148" s="10" t="str">
        <f t="shared" si="46"/>
        <v>0,234723821762642-0,42851775086898i</v>
      </c>
      <c r="AG148" s="10">
        <f t="shared" si="36"/>
        <v>0.48859260669055338</v>
      </c>
      <c r="AH148" s="10">
        <f t="shared" si="37"/>
        <v>-1.0696764174180009</v>
      </c>
      <c r="AI148" s="10">
        <f t="shared" si="38"/>
        <v>-61.287944162725587</v>
      </c>
      <c r="AJ148" s="10">
        <f t="shared" si="39"/>
        <v>-6.2210621798258847</v>
      </c>
      <c r="AL148" s="10" t="str">
        <f t="shared" si="42"/>
        <v>0,017218279941183-0,000314909494205925i</v>
      </c>
      <c r="AM148" s="10" t="str">
        <f t="shared" si="43"/>
        <v>0,0260454058447605-0,126108428105214i</v>
      </c>
      <c r="AN148" s="10" t="str">
        <f t="shared" si="47"/>
        <v>-0,158971850111686+0,847695194439562i</v>
      </c>
      <c r="AO148" s="10">
        <f t="shared" si="48"/>
        <v>0.86247271945485859</v>
      </c>
      <c r="AP148" s="10">
        <f t="shared" si="49"/>
        <v>1.7561773264480254</v>
      </c>
      <c r="AQ148" s="10">
        <f t="shared" si="50"/>
        <v>100.62154888204046</v>
      </c>
      <c r="AR148" s="10">
        <f t="shared" si="51"/>
        <v>-1.28509266080606</v>
      </c>
      <c r="AS148" s="10">
        <f t="shared" si="52"/>
        <v>-7.5061548406319449</v>
      </c>
      <c r="AT148" s="10">
        <f t="shared" si="53"/>
        <v>39.33360471931487</v>
      </c>
    </row>
    <row r="149" spans="25:46" x14ac:dyDescent="0.35">
      <c r="Y149" s="10">
        <v>147</v>
      </c>
      <c r="Z149" s="10">
        <f t="shared" si="44"/>
        <v>25703.957827688606</v>
      </c>
      <c r="AA149" s="10" t="str">
        <f t="shared" si="45"/>
        <v>161502,730159297i</v>
      </c>
      <c r="AC149" s="10">
        <f>1/(2*$T$3+$T$6*$T$2/('4. Boost Inductor'!$B$11*$T$3^2)*($T$5))</f>
        <v>0.32865720058048542</v>
      </c>
      <c r="AD149" s="10" t="str">
        <f t="shared" si="40"/>
        <v>0,00501168486425818-0,0042433885262956i</v>
      </c>
      <c r="AE149" s="10" t="str">
        <f t="shared" si="41"/>
        <v>0,935313280412206-0,348310199189973i</v>
      </c>
      <c r="AF149" s="10" t="str">
        <f t="shared" si="46"/>
        <v>0,232060110010342-0,413185890569503i</v>
      </c>
      <c r="AG149" s="10">
        <f t="shared" si="36"/>
        <v>0.4738928938312173</v>
      </c>
      <c r="AH149" s="10">
        <f t="shared" si="37"/>
        <v>-1.0590633690572917</v>
      </c>
      <c r="AI149" s="10">
        <f t="shared" si="38"/>
        <v>-60.679861283888719</v>
      </c>
      <c r="AJ149" s="10">
        <f t="shared" si="39"/>
        <v>-6.4863960726052969</v>
      </c>
      <c r="AL149" s="10" t="str">
        <f t="shared" si="42"/>
        <v>0,0172182669207127-0,000293890643723121i</v>
      </c>
      <c r="AM149" s="10" t="str">
        <f t="shared" si="43"/>
        <v>0,0239687425138657-0,117942173821922i</v>
      </c>
      <c r="AN149" s="10" t="str">
        <f t="shared" si="47"/>
        <v>-0,147029352936797+0,792557687760393i</v>
      </c>
      <c r="AO149" s="10">
        <f t="shared" si="48"/>
        <v>0.80608021874569902</v>
      </c>
      <c r="AP149" s="10">
        <f t="shared" si="49"/>
        <v>1.7542235814658376</v>
      </c>
      <c r="AQ149" s="10">
        <f t="shared" si="50"/>
        <v>100.50960754031624</v>
      </c>
      <c r="AR149" s="10">
        <f t="shared" si="51"/>
        <v>-1.8724347265525529</v>
      </c>
      <c r="AS149" s="10">
        <f t="shared" si="52"/>
        <v>-8.3588307991578503</v>
      </c>
      <c r="AT149" s="10">
        <f t="shared" si="53"/>
        <v>39.829746256427519</v>
      </c>
    </row>
    <row r="150" spans="25:46" x14ac:dyDescent="0.35">
      <c r="Y150" s="10">
        <v>148</v>
      </c>
      <c r="Z150" s="10">
        <f t="shared" si="44"/>
        <v>27542.287033381672</v>
      </c>
      <c r="AA150" s="10" t="str">
        <f t="shared" si="45"/>
        <v>173053,293214267i</v>
      </c>
      <c r="AC150" s="10">
        <f>1/(2*$T$3+$T$6*$T$2/('4. Boost Inductor'!$B$11*$T$3^2)*($T$5))</f>
        <v>0.32865720058048542</v>
      </c>
      <c r="AD150" s="10" t="str">
        <f t="shared" si="40"/>
        <v>0,0050093497238066-0,00396016988622831i</v>
      </c>
      <c r="AE150" s="10" t="str">
        <f t="shared" si="41"/>
        <v>0,92608798549047-0,371402901990735i</v>
      </c>
      <c r="AF150" s="10" t="str">
        <f t="shared" si="46"/>
        <v>0,22908116824956-0,399696326592952i</v>
      </c>
      <c r="AG150" s="10">
        <f t="shared" si="36"/>
        <v>0.46069006407614538</v>
      </c>
      <c r="AH150" s="10">
        <f t="shared" si="37"/>
        <v>-1.0503624870430883</v>
      </c>
      <c r="AI150" s="10">
        <f t="shared" si="38"/>
        <v>-60.181337466433583</v>
      </c>
      <c r="AJ150" s="10">
        <f t="shared" si="39"/>
        <v>-6.7318230856794408</v>
      </c>
      <c r="AL150" s="10" t="str">
        <f t="shared" si="42"/>
        <v>0,0172182555803569-0,000274274710383465i</v>
      </c>
      <c r="AM150" s="10" t="str">
        <f t="shared" si="43"/>
        <v>0,0221528155662519-0,110274828620767i</v>
      </c>
      <c r="AN150" s="10" t="str">
        <f t="shared" si="47"/>
        <v>-0,136586318949251+0,740835066349115i</v>
      </c>
      <c r="AO150" s="10">
        <f t="shared" si="48"/>
        <v>0.75332092633658077</v>
      </c>
      <c r="AP150" s="10">
        <f t="shared" si="49"/>
        <v>1.7531169899014512</v>
      </c>
      <c r="AQ150" s="10">
        <f t="shared" si="50"/>
        <v>100.44620451403212</v>
      </c>
      <c r="AR150" s="10">
        <f t="shared" si="51"/>
        <v>-2.460399364576157</v>
      </c>
      <c r="AS150" s="10">
        <f t="shared" si="52"/>
        <v>-9.1922224502555974</v>
      </c>
      <c r="AT150" s="10">
        <f t="shared" si="53"/>
        <v>40.264867047598536</v>
      </c>
    </row>
    <row r="151" spans="25:46" x14ac:dyDescent="0.35">
      <c r="Y151" s="10">
        <v>149</v>
      </c>
      <c r="Z151" s="10">
        <f t="shared" si="44"/>
        <v>29512.092266663854</v>
      </c>
      <c r="AA151" s="10" t="str">
        <f t="shared" si="45"/>
        <v>185429,944514031i</v>
      </c>
      <c r="AC151" s="10">
        <f>1/(2*$T$3+$T$6*$T$2/('4. Boost Inductor'!$B$11*$T$3^2)*($T$5))</f>
        <v>0.32865720058048542</v>
      </c>
      <c r="AD151" s="10" t="str">
        <f t="shared" si="40"/>
        <v>0,0050073158925653-0,00369585313277898i</v>
      </c>
      <c r="AE151" s="10" t="str">
        <f t="shared" si="41"/>
        <v>0,915605087372232-0,395751551822886i</v>
      </c>
      <c r="AF151" s="10" t="str">
        <f t="shared" si="46"/>
        <v>0,225741006395743-0,387957112578423i</v>
      </c>
      <c r="AG151" s="10">
        <f t="shared" si="36"/>
        <v>0.4488537881858079</v>
      </c>
      <c r="AH151" s="10">
        <f t="shared" si="37"/>
        <v>-1.0438136144578241</v>
      </c>
      <c r="AI151" s="10">
        <f t="shared" si="38"/>
        <v>-59.806114706729012</v>
      </c>
      <c r="AJ151" s="10">
        <f t="shared" si="39"/>
        <v>-6.9579021031051944</v>
      </c>
      <c r="AL151" s="10" t="str">
        <f t="shared" si="42"/>
        <v>0,0172182457033196-0,000255968055637717i</v>
      </c>
      <c r="AM151" s="10" t="str">
        <f t="shared" si="43"/>
        <v>0,0205656948568287-0,10308149611038i</v>
      </c>
      <c r="AN151" s="10" t="str">
        <f t="shared" si="47"/>
        <v>-0,127459117466227+0,692347708575669i</v>
      </c>
      <c r="AO151" s="10">
        <f t="shared" si="48"/>
        <v>0.70398236923608304</v>
      </c>
      <c r="AP151" s="10">
        <f t="shared" si="49"/>
        <v>1.7528548086057774</v>
      </c>
      <c r="AQ151" s="10">
        <f t="shared" si="50"/>
        <v>100.43118263232273</v>
      </c>
      <c r="AR151" s="10">
        <f t="shared" si="51"/>
        <v>-3.0487643466850729</v>
      </c>
      <c r="AS151" s="10">
        <f t="shared" si="52"/>
        <v>-10.006666449790266</v>
      </c>
      <c r="AT151" s="10">
        <f t="shared" si="53"/>
        <v>40.625067925593719</v>
      </c>
    </row>
    <row r="152" spans="25:46" x14ac:dyDescent="0.35">
      <c r="Y152" s="10">
        <v>150</v>
      </c>
      <c r="Z152" s="10">
        <f t="shared" si="44"/>
        <v>31622.776601683781</v>
      </c>
      <c r="AA152" s="10" t="str">
        <f t="shared" si="45"/>
        <v>198691,765315922i</v>
      </c>
      <c r="AC152" s="10">
        <f>1/(2*$T$3+$T$6*$T$2/('4. Boost Inductor'!$B$11*$T$3^2)*($T$5))</f>
        <v>0.32865720058048542</v>
      </c>
      <c r="AD152" s="10" t="str">
        <f t="shared" si="40"/>
        <v>0,00500554449283154-0,00344917697188828i</v>
      </c>
      <c r="AE152" s="10" t="str">
        <f t="shared" si="41"/>
        <v>0,903710630265822-0,421363842789791i</v>
      </c>
      <c r="AF152" s="10" t="str">
        <f t="shared" si="46"/>
        <v>0,221989917772188-0,377879183406948i</v>
      </c>
      <c r="AG152" s="10">
        <f t="shared" si="36"/>
        <v>0.43826042582556396</v>
      </c>
      <c r="AH152" s="10">
        <f t="shared" si="37"/>
        <v>-1.0396464520658131</v>
      </c>
      <c r="AI152" s="10">
        <f t="shared" si="38"/>
        <v>-59.567353889121136</v>
      </c>
      <c r="AJ152" s="10">
        <f t="shared" si="39"/>
        <v>-7.1653548726398029</v>
      </c>
      <c r="AL152" s="10" t="str">
        <f t="shared" si="42"/>
        <v>0,0172182371007796-0,00023888329088155i</v>
      </c>
      <c r="AM152" s="10" t="str">
        <f t="shared" si="43"/>
        <v>0,019179166835875-0,0963374360757551i</v>
      </c>
      <c r="AN152" s="10" t="str">
        <f t="shared" si="47"/>
        <v>-0,119485493061853+0,646919327315088i</v>
      </c>
      <c r="AO152" s="10">
        <f t="shared" si="48"/>
        <v>0.65786123088842996</v>
      </c>
      <c r="AP152" s="10">
        <f t="shared" si="49"/>
        <v>1.7534372477922013</v>
      </c>
      <c r="AQ152" s="10">
        <f t="shared" si="50"/>
        <v>100.46455393952786</v>
      </c>
      <c r="AR152" s="10">
        <f t="shared" si="51"/>
        <v>-3.6373141342645043</v>
      </c>
      <c r="AS152" s="10">
        <f t="shared" si="52"/>
        <v>-10.802669006904306</v>
      </c>
      <c r="AT152" s="10">
        <f t="shared" si="53"/>
        <v>40.897200050406724</v>
      </c>
    </row>
    <row r="153" spans="25:46" x14ac:dyDescent="0.35">
      <c r="Y153" s="10">
        <v>151</v>
      </c>
      <c r="Z153" s="10">
        <f t="shared" si="44"/>
        <v>33884.415613920231</v>
      </c>
      <c r="AA153" s="10" t="str">
        <f t="shared" si="45"/>
        <v>212902,06232775i</v>
      </c>
      <c r="AC153" s="10">
        <f>1/(2*$T$3+$T$6*$T$2/('4. Boost Inductor'!$B$11*$T$3^2)*($T$5))</f>
        <v>0.32865720058048542</v>
      </c>
      <c r="AD153" s="10" t="str">
        <f t="shared" si="40"/>
        <v>0,00500400166302121-0,0032189642345151i</v>
      </c>
      <c r="AE153" s="10" t="str">
        <f t="shared" si="41"/>
        <v>0,890237012730019-0,448232493850632i</v>
      </c>
      <c r="AF153" s="10" t="str">
        <f t="shared" si="46"/>
        <v>0,217774402938946-0,369374999555362i</v>
      </c>
      <c r="AG153" s="10">
        <f t="shared" si="36"/>
        <v>0.4287931679399033</v>
      </c>
      <c r="AH153" s="10">
        <f t="shared" si="37"/>
        <v>-1.0380772573834955</v>
      </c>
      <c r="AI153" s="10">
        <f t="shared" si="38"/>
        <v>-59.477445656589971</v>
      </c>
      <c r="AJ153" s="10">
        <f t="shared" si="39"/>
        <v>-7.3550428594791351</v>
      </c>
      <c r="AL153" s="10" t="str">
        <f t="shared" si="42"/>
        <v>0,0172182296082804-0,00022293886030338i</v>
      </c>
      <c r="AM153" s="10" t="str">
        <f t="shared" si="43"/>
        <v>0,0179683489574777-0,0900183166414012i</v>
      </c>
      <c r="AN153" s="10" t="str">
        <f t="shared" si="47"/>
        <v>-0,112522347638449+0,604378256833082i</v>
      </c>
      <c r="AO153" s="10">
        <f t="shared" si="48"/>
        <v>0.61476365869386163</v>
      </c>
      <c r="AP153" s="10">
        <f t="shared" si="49"/>
        <v>1.7548675294297011</v>
      </c>
      <c r="AQ153" s="10">
        <f t="shared" si="50"/>
        <v>100.54650304087166</v>
      </c>
      <c r="AR153" s="10">
        <f t="shared" si="51"/>
        <v>-4.2258362683127029</v>
      </c>
      <c r="AS153" s="10">
        <f t="shared" si="52"/>
        <v>-11.580879127791839</v>
      </c>
      <c r="AT153" s="10">
        <f t="shared" si="53"/>
        <v>41.069057384281685</v>
      </c>
    </row>
    <row r="154" spans="25:46" x14ac:dyDescent="0.35">
      <c r="Y154" s="10">
        <v>152</v>
      </c>
      <c r="Z154" s="10">
        <f t="shared" si="44"/>
        <v>36307.805477010166</v>
      </c>
      <c r="AA154" s="10" t="str">
        <f t="shared" si="45"/>
        <v>228128,669909085i</v>
      </c>
      <c r="AC154" s="10">
        <f>1/(2*$T$3+$T$6*$T$2/('4. Boost Inductor'!$B$11*$T$3^2)*($T$5))</f>
        <v>0.32865720058048542</v>
      </c>
      <c r="AD154" s="10" t="str">
        <f t="shared" si="40"/>
        <v>0,00500265791053253-0,00300411627305782i</v>
      </c>
      <c r="AE154" s="10" t="str">
        <f t="shared" si="41"/>
        <v>0,875003356775736-0,476331821228274i</v>
      </c>
      <c r="AF154" s="10" t="str">
        <f t="shared" si="46"/>
        <v>0,213037235304965-0,362357096931967i</v>
      </c>
      <c r="AG154" s="10">
        <f t="shared" si="36"/>
        <v>0.42034215744241732</v>
      </c>
      <c r="AH154" s="10">
        <f t="shared" si="37"/>
        <v>-1.0393060189503656</v>
      </c>
      <c r="AI154" s="10">
        <f t="shared" si="38"/>
        <v>-59.547848508399497</v>
      </c>
      <c r="AJ154" s="10">
        <f t="shared" si="39"/>
        <v>-7.5279410209018991</v>
      </c>
      <c r="AL154" s="10" t="str">
        <f t="shared" si="42"/>
        <v>0,0172182230825863-0,000208058651574422i</v>
      </c>
      <c r="AM154" s="10" t="str">
        <f t="shared" si="43"/>
        <v>0,0169113322962614-0,084100405889039i</v>
      </c>
      <c r="AN154" s="10" t="str">
        <f t="shared" si="47"/>
        <v>-0,10644368483094+0,564558402489417i</v>
      </c>
      <c r="AO154" s="10">
        <f t="shared" si="48"/>
        <v>0.57450539411026524</v>
      </c>
      <c r="AP154" s="10">
        <f t="shared" si="49"/>
        <v>1.7571519199806886</v>
      </c>
      <c r="AQ154" s="10">
        <f t="shared" si="50"/>
        <v>100.67738897820281</v>
      </c>
      <c r="AR154" s="10">
        <f t="shared" si="51"/>
        <v>-4.814117786117043</v>
      </c>
      <c r="AS154" s="10">
        <f t="shared" si="52"/>
        <v>-12.342058807018942</v>
      </c>
      <c r="AT154" s="10">
        <f t="shared" si="53"/>
        <v>41.129540469803317</v>
      </c>
    </row>
    <row r="155" spans="25:46" x14ac:dyDescent="0.35">
      <c r="Y155" s="10">
        <v>153</v>
      </c>
      <c r="Z155" s="10">
        <f t="shared" si="44"/>
        <v>38904.514499428085</v>
      </c>
      <c r="AA155" s="10" t="str">
        <f t="shared" si="45"/>
        <v>244444,273885762i</v>
      </c>
      <c r="AC155" s="10">
        <f>1/(2*$T$3+$T$6*$T$2/('4. Boost Inductor'!$B$11*$T$3^2)*($T$5))</f>
        <v>0.32865720058048542</v>
      </c>
      <c r="AD155" s="10" t="str">
        <f t="shared" si="40"/>
        <v>0,00500148754808374-0,00280360772965621i</v>
      </c>
      <c r="AE155" s="10" t="str">
        <f t="shared" si="41"/>
        <v>0,8578164610931-0,505613927550652i</v>
      </c>
      <c r="AF155" s="10" t="str">
        <f t="shared" si="46"/>
        <v>0,207717710711946-0,356736546876932i</v>
      </c>
      <c r="AG155" s="10">
        <f t="shared" si="36"/>
        <v>0.4128045678297288</v>
      </c>
      <c r="AH155" s="10">
        <f t="shared" si="37"/>
        <v>-1.0435141028752222</v>
      </c>
      <c r="AI155" s="10">
        <f t="shared" si="38"/>
        <v>-59.788953957130637</v>
      </c>
      <c r="AJ155" s="10">
        <f t="shared" si="39"/>
        <v>-7.6851101146193308</v>
      </c>
      <c r="AL155" s="10" t="str">
        <f t="shared" si="42"/>
        <v>0,0172182173989442-0,000194171632522789i</v>
      </c>
      <c r="AM155" s="10" t="str">
        <f t="shared" si="43"/>
        <v>0,0159888535572187-0,0785607136320507i</v>
      </c>
      <c r="AN155" s="10" t="str">
        <f t="shared" si="47"/>
        <v>-0,101138723531744+0,527299914054799i</v>
      </c>
      <c r="AO155" s="10">
        <f t="shared" si="48"/>
        <v>0.5369117625456058</v>
      </c>
      <c r="AP155" s="10">
        <f t="shared" si="49"/>
        <v>1.760299738199482</v>
      </c>
      <c r="AQ155" s="10">
        <f t="shared" si="50"/>
        <v>100.85774567681406</v>
      </c>
      <c r="AR155" s="10">
        <f t="shared" si="51"/>
        <v>-5.4019416300780501</v>
      </c>
      <c r="AS155" s="10">
        <f t="shared" si="52"/>
        <v>-13.08705174469738</v>
      </c>
      <c r="AT155" s="10">
        <f t="shared" si="53"/>
        <v>41.068791719683425</v>
      </c>
    </row>
    <row r="156" spans="25:46" x14ac:dyDescent="0.35">
      <c r="Y156" s="10">
        <v>154</v>
      </c>
      <c r="Z156" s="10">
        <f t="shared" si="44"/>
        <v>41686.93834703348</v>
      </c>
      <c r="AA156" s="10" t="str">
        <f t="shared" si="45"/>
        <v>261926,758523382i</v>
      </c>
      <c r="AC156" s="10">
        <f>1/(2*$T$3+$T$6*$T$2/('4. Boost Inductor'!$B$11*$T$3^2)*($T$5))</f>
        <v>0.32865720058048542</v>
      </c>
      <c r="AD156" s="10" t="str">
        <f t="shared" si="40"/>
        <v>0,00500046820276054-0,00261648165195145i</v>
      </c>
      <c r="AE156" s="10" t="str">
        <f t="shared" si="41"/>
        <v>0,838472499194627-0,536004564243387i</v>
      </c>
      <c r="AF156" s="10" t="str">
        <f t="shared" si="46"/>
        <v>0,201752129186944-0,352421341771875i</v>
      </c>
      <c r="AG156" s="10">
        <f t="shared" si="36"/>
        <v>0.40608462636223258</v>
      </c>
      <c r="AH156" s="10">
        <f t="shared" si="37"/>
        <v>-1.0508623170534062</v>
      </c>
      <c r="AI156" s="10">
        <f t="shared" si="38"/>
        <v>-60.209975616498767</v>
      </c>
      <c r="AJ156" s="10">
        <f t="shared" si="39"/>
        <v>-7.8276690362239476</v>
      </c>
      <c r="AL156" s="10" t="str">
        <f t="shared" si="42"/>
        <v>0,0172182124486989-0,000181211512057424i</v>
      </c>
      <c r="AM156" s="10" t="str">
        <f t="shared" si="43"/>
        <v>0,0151839964693694-0,0733770925073483i</v>
      </c>
      <c r="AN156" s="10" t="str">
        <f t="shared" si="47"/>
        <v>-0,0965101804624218+0,492449634623999i</v>
      </c>
      <c r="AO156" s="10">
        <f t="shared" si="48"/>
        <v>0.50181755407139694</v>
      </c>
      <c r="AP156" s="10">
        <f t="shared" si="49"/>
        <v>1.7643233373081109</v>
      </c>
      <c r="AQ156" s="10">
        <f t="shared" si="50"/>
        <v>101.08828092419108</v>
      </c>
      <c r="AR156" s="10">
        <f t="shared" si="51"/>
        <v>-5.9890830141547529</v>
      </c>
      <c r="AS156" s="10">
        <f t="shared" si="52"/>
        <v>-13.8167520503787</v>
      </c>
      <c r="AT156" s="10">
        <f t="shared" si="53"/>
        <v>40.878305307692315</v>
      </c>
    </row>
    <row r="157" spans="25:46" x14ac:dyDescent="0.35">
      <c r="Y157" s="10">
        <v>155</v>
      </c>
      <c r="Z157" s="10">
        <f t="shared" si="44"/>
        <v>44668.359215096309</v>
      </c>
      <c r="AA157" s="10" t="str">
        <f t="shared" si="45"/>
        <v>280659,578316113i</v>
      </c>
      <c r="AC157" s="10">
        <f>1/(2*$T$3+$T$6*$T$2/('4. Boost Inductor'!$B$11*$T$3^2)*($T$5))</f>
        <v>0.32865720058048542</v>
      </c>
      <c r="AD157" s="10" t="str">
        <f t="shared" si="40"/>
        <v>0,00499958038839672-0,00244184493343819i</v>
      </c>
      <c r="AE157" s="10" t="str">
        <f t="shared" si="41"/>
        <v>0,816759637206512-0,567398770212078i</v>
      </c>
      <c r="AF157" s="10" t="str">
        <f t="shared" si="46"/>
        <v>0,195074561407815-0,349314735985477i</v>
      </c>
      <c r="AG157" s="10">
        <f t="shared" si="36"/>
        <v>0.40009357566081327</v>
      </c>
      <c r="AH157" s="10">
        <f t="shared" si="37"/>
        <v>-1.0614892998841987</v>
      </c>
      <c r="AI157" s="10">
        <f t="shared" si="38"/>
        <v>-60.818856881661169</v>
      </c>
      <c r="AJ157" s="10">
        <f t="shared" si="39"/>
        <v>-7.9567684414257354</v>
      </c>
      <c r="AL157" s="10" t="str">
        <f t="shared" si="42"/>
        <v>0,0172182081372153-0,000169116423723434i</v>
      </c>
      <c r="AM157" s="10" t="str">
        <f t="shared" si="43"/>
        <v>0,0144819217252419-0,0685283061481959i</v>
      </c>
      <c r="AN157" s="10" t="str">
        <f t="shared" si="47"/>
        <v>-0,0924727169571258+0,45986136912182i</v>
      </c>
      <c r="AO157" s="10">
        <f t="shared" si="48"/>
        <v>0.46906682060451416</v>
      </c>
      <c r="AP157" s="10">
        <f t="shared" si="49"/>
        <v>1.7692380594568951</v>
      </c>
      <c r="AQ157" s="10">
        <f t="shared" si="50"/>
        <v>101.3698737607959</v>
      </c>
      <c r="AR157" s="10">
        <f t="shared" si="51"/>
        <v>-6.575305714878712</v>
      </c>
      <c r="AS157" s="10">
        <f t="shared" si="52"/>
        <v>-14.532074156304446</v>
      </c>
      <c r="AT157" s="10">
        <f t="shared" si="53"/>
        <v>40.551016879134728</v>
      </c>
    </row>
    <row r="158" spans="25:46" x14ac:dyDescent="0.35">
      <c r="Y158" s="10">
        <v>156</v>
      </c>
      <c r="Z158" s="10">
        <f t="shared" si="44"/>
        <v>47863.009232263823</v>
      </c>
      <c r="AA158" s="10" t="str">
        <f t="shared" si="45"/>
        <v>300732,156365561i</v>
      </c>
      <c r="AC158" s="10">
        <f>1/(2*$T$3+$T$6*$T$2/('4. Boost Inductor'!$B$11*$T$3^2)*($T$5))</f>
        <v>0.32865720058048542</v>
      </c>
      <c r="AD158" s="10" t="str">
        <f t="shared" si="40"/>
        <v>0,00499880713312031-0,00227886405700706i</v>
      </c>
      <c r="AE158" s="10" t="str">
        <f t="shared" si="41"/>
        <v>0,792461749991796-0,599656448702011i</v>
      </c>
      <c r="AF158" s="10" t="str">
        <f t="shared" si="46"/>
        <v>0,187617953716976-0,347313589912926i</v>
      </c>
      <c r="AG158" s="10">
        <f t="shared" si="36"/>
        <v>0.39474957415448786</v>
      </c>
      <c r="AH158" s="10">
        <f t="shared" si="37"/>
        <v>-1.0755101186310463</v>
      </c>
      <c r="AI158" s="10">
        <f t="shared" si="38"/>
        <v>-61.622190621173438</v>
      </c>
      <c r="AJ158" s="10">
        <f t="shared" si="39"/>
        <v>-8.0735665964987877</v>
      </c>
      <c r="AL158" s="10" t="str">
        <f t="shared" si="42"/>
        <v>0,0172182043820701-0,000157828630378354i</v>
      </c>
      <c r="AM158" s="10" t="str">
        <f t="shared" si="43"/>
        <v>0,013869624079473-0,0639940709610108i</v>
      </c>
      <c r="AN158" s="10" t="str">
        <f t="shared" si="47"/>
        <v>-0,0889515419711234+0,42939600930981i</v>
      </c>
      <c r="AO158" s="10">
        <f t="shared" si="48"/>
        <v>0.43851261057149871</v>
      </c>
      <c r="AP158" s="10">
        <f t="shared" si="49"/>
        <v>1.7750621589419604</v>
      </c>
      <c r="AQ158" s="10">
        <f t="shared" si="50"/>
        <v>101.70357008075445</v>
      </c>
      <c r="AR158" s="10">
        <f t="shared" si="51"/>
        <v>-7.1603582570025361</v>
      </c>
      <c r="AS158" s="10">
        <f t="shared" si="52"/>
        <v>-15.233924853501325</v>
      </c>
      <c r="AT158" s="10">
        <f t="shared" si="53"/>
        <v>40.081379459581008</v>
      </c>
    </row>
    <row r="159" spans="25:46" x14ac:dyDescent="0.35">
      <c r="Y159" s="10">
        <v>157</v>
      </c>
      <c r="Z159" s="10">
        <f t="shared" si="44"/>
        <v>51286.138399136456</v>
      </c>
      <c r="AA159" s="10" t="str">
        <f t="shared" si="45"/>
        <v>322240,311251433i</v>
      </c>
      <c r="AC159" s="10">
        <f>1/(2*$T$3+$T$6*$T$2/('4. Boost Inductor'!$B$11*$T$3^2)*($T$5))</f>
        <v>0.32865720058048542</v>
      </c>
      <c r="AD159" s="10" t="str">
        <f t="shared" si="40"/>
        <v>0,00499813365494957-0,00212676112165563i</v>
      </c>
      <c r="AE159" s="10" t="str">
        <f t="shared" si="41"/>
        <v>0,765363402406004-0,632598114736843i</v>
      </c>
      <c r="AF159" s="10" t="str">
        <f t="shared" si="46"/>
        <v>0,179315621975866-0,346306786444613i</v>
      </c>
      <c r="AG159" s="10">
        <f t="shared" si="36"/>
        <v>0.38997754117665095</v>
      </c>
      <c r="AH159" s="10">
        <f t="shared" si="37"/>
        <v>-1.0930149590997573</v>
      </c>
      <c r="AI159" s="10">
        <f t="shared" si="38"/>
        <v>-62.625144101080387</v>
      </c>
      <c r="AJ159" s="10">
        <f t="shared" si="39"/>
        <v>-8.1792080658240867</v>
      </c>
      <c r="AL159" s="10" t="str">
        <f t="shared" si="42"/>
        <v>0,0172182011114755-0,000147294248579677i</v>
      </c>
      <c r="AM159" s="10" t="str">
        <f t="shared" si="43"/>
        <v>0,0133357148820496-0,0597550769453251i</v>
      </c>
      <c r="AN159" s="10" t="str">
        <f t="shared" si="47"/>
        <v>-0,0858811613879465+0,400921546010428i</v>
      </c>
      <c r="AO159" s="10">
        <f t="shared" si="48"/>
        <v>0.41001665812102589</v>
      </c>
      <c r="AP159" s="10">
        <f t="shared" si="49"/>
        <v>1.7818166891793461</v>
      </c>
      <c r="AQ159" s="10">
        <f t="shared" si="50"/>
        <v>102.09057615595016</v>
      </c>
      <c r="AR159" s="10">
        <f t="shared" si="51"/>
        <v>-7.74396996886985</v>
      </c>
      <c r="AS159" s="10">
        <f t="shared" si="52"/>
        <v>-15.923178034693937</v>
      </c>
      <c r="AT159" s="10">
        <f t="shared" si="53"/>
        <v>39.465432054869773</v>
      </c>
    </row>
    <row r="160" spans="25:46" x14ac:dyDescent="0.35">
      <c r="Y160" s="10">
        <v>158</v>
      </c>
      <c r="Z160" s="10">
        <f t="shared" si="44"/>
        <v>54954.08738576241</v>
      </c>
      <c r="AA160" s="10" t="str">
        <f t="shared" si="45"/>
        <v>345286,714431685i</v>
      </c>
      <c r="AC160" s="10">
        <f>1/(2*$T$3+$T$6*$T$2/('4. Boost Inductor'!$B$11*$T$3^2)*($T$5))</f>
        <v>0.32865720058048542</v>
      </c>
      <c r="AD160" s="10" t="str">
        <f t="shared" si="40"/>
        <v>0,0049975470792414-0,00198481013364194i</v>
      </c>
      <c r="AE160" s="10" t="str">
        <f t="shared" si="41"/>
        <v>0,73525622791759-0,666001124821551i</v>
      </c>
      <c r="AF160" s="10" t="str">
        <f t="shared" si="46"/>
        <v>0,170103174090013-0,346173813442417i</v>
      </c>
      <c r="AG160" s="10">
        <f t="shared" si="36"/>
        <v>0.38570895627242391</v>
      </c>
      <c r="AH160" s="10">
        <f t="shared" si="37"/>
        <v>-1.1140678023691941</v>
      </c>
      <c r="AI160" s="10">
        <f t="shared" si="38"/>
        <v>-63.83138316716952</v>
      </c>
      <c r="AJ160" s="10">
        <f t="shared" si="39"/>
        <v>-8.2748055314926301</v>
      </c>
      <c r="AL160" s="10" t="str">
        <f t="shared" si="42"/>
        <v>0,0172181982629065-0,000137462991368078i</v>
      </c>
      <c r="AM160" s="10" t="str">
        <f t="shared" si="43"/>
        <v>0,0128702281398267-0,0557929920611566i</v>
      </c>
      <c r="AN160" s="10" t="str">
        <f t="shared" si="47"/>
        <v>-0,0832042626549627+0,374312993927884i</v>
      </c>
      <c r="AO160" s="10">
        <f t="shared" si="48"/>
        <v>0.38344904061323731</v>
      </c>
      <c r="AP160" s="10">
        <f t="shared" si="49"/>
        <v>1.7895253469244703</v>
      </c>
      <c r="AQ160" s="10">
        <f t="shared" si="50"/>
        <v>102.5322497104566</v>
      </c>
      <c r="AR160" s="10">
        <f t="shared" si="51"/>
        <v>-8.325846889893679</v>
      </c>
      <c r="AS160" s="10">
        <f t="shared" si="52"/>
        <v>-16.600652421386307</v>
      </c>
      <c r="AT160" s="10">
        <f t="shared" si="53"/>
        <v>38.700866543287077</v>
      </c>
    </row>
    <row r="161" spans="25:46" x14ac:dyDescent="0.35">
      <c r="Y161" s="10">
        <v>159</v>
      </c>
      <c r="Z161" s="10">
        <f t="shared" si="44"/>
        <v>58884.365535558936</v>
      </c>
      <c r="AA161" s="10" t="str">
        <f t="shared" si="45"/>
        <v>369981,380355616i</v>
      </c>
      <c r="AC161" s="10">
        <f>1/(2*$T$3+$T$6*$T$2/('4. Boost Inductor'!$B$11*$T$3^2)*($T$5))</f>
        <v>0.32865720058048542</v>
      </c>
      <c r="AD161" s="10" t="str">
        <f t="shared" si="40"/>
        <v>0,00499703619259334-0,00185233354457187i</v>
      </c>
      <c r="AE161" s="10" t="str">
        <f t="shared" si="41"/>
        <v>0,701946772396587-0,699596782619654i</v>
      </c>
      <c r="AF161" s="10" t="str">
        <f t="shared" si="46"/>
        <v>0,159920881468252-0,346783630873901i</v>
      </c>
      <c r="AG161" s="10">
        <f t="shared" si="36"/>
        <v>0.38188162429170214</v>
      </c>
      <c r="AH161" s="10">
        <f t="shared" si="37"/>
        <v>-1.1387050137489478</v>
      </c>
      <c r="AI161" s="10">
        <f t="shared" si="38"/>
        <v>-65.242991398201085</v>
      </c>
      <c r="AJ161" s="10">
        <f t="shared" si="39"/>
        <v>-8.3614247775829895</v>
      </c>
      <c r="AL161" s="10" t="str">
        <f t="shared" si="42"/>
        <v>0,0172181957819066-0,000128287928218537i</v>
      </c>
      <c r="AM161" s="10" t="str">
        <f t="shared" si="43"/>
        <v>0,0124644481307787-0,0520904538499689i</v>
      </c>
      <c r="AN161" s="10" t="str">
        <f t="shared" si="47"/>
        <v>-0,0808707233809916+0,349452249891441i</v>
      </c>
      <c r="AO161" s="10">
        <f t="shared" si="48"/>
        <v>0.35868781531347704</v>
      </c>
      <c r="AP161" s="10">
        <f t="shared" si="49"/>
        <v>1.7982142656883289</v>
      </c>
      <c r="AQ161" s="10">
        <f t="shared" si="50"/>
        <v>103.03008808415771</v>
      </c>
      <c r="AR161" s="10">
        <f t="shared" si="51"/>
        <v>-8.9056675226278834</v>
      </c>
      <c r="AS161" s="10">
        <f t="shared" si="52"/>
        <v>-17.267092300210873</v>
      </c>
      <c r="AT161" s="10">
        <f t="shared" si="53"/>
        <v>37.787096685956627</v>
      </c>
    </row>
    <row r="162" spans="25:46" x14ac:dyDescent="0.35">
      <c r="Y162" s="10">
        <v>160</v>
      </c>
      <c r="Z162" s="10">
        <f t="shared" si="44"/>
        <v>63095.734448019342</v>
      </c>
      <c r="AA162" s="10" t="str">
        <f t="shared" si="45"/>
        <v>396442,1916295i</v>
      </c>
      <c r="AC162" s="10">
        <f>1/(2*$T$3+$T$6*$T$2/('4. Boost Inductor'!$B$11*$T$3^2)*($T$5))</f>
        <v>0.32865720058048542</v>
      </c>
      <c r="AD162" s="10" t="str">
        <f t="shared" si="40"/>
        <v>0,00499659122849682-0,00172869902005395i</v>
      </c>
      <c r="AE162" s="10" t="str">
        <f t="shared" si="41"/>
        <v>0,665265770332306-0,733068789112881i</v>
      </c>
      <c r="AF162" s="10" t="str">
        <f t="shared" si="46"/>
        <v>0,148716489105993-0,347993964120228i</v>
      </c>
      <c r="AG162" s="10">
        <f t="shared" si="36"/>
        <v>0.37843941813204851</v>
      </c>
      <c r="AH162" s="10">
        <f t="shared" si="37"/>
        <v>-1.1669338108834286</v>
      </c>
      <c r="AI162" s="10">
        <f t="shared" si="38"/>
        <v>-66.860382334737835</v>
      </c>
      <c r="AJ162" s="10">
        <f t="shared" si="39"/>
        <v>-8.440072678721716</v>
      </c>
      <c r="AL162" s="10" t="str">
        <f t="shared" si="42"/>
        <v>0,0172181936210461-0,000119725261013527i</v>
      </c>
      <c r="AM162" s="10" t="str">
        <f t="shared" si="43"/>
        <v>0,0121107566056644-0,0486310513401288i</v>
      </c>
      <c r="AN162" s="10" t="str">
        <f t="shared" si="47"/>
        <v>-0,0788367325896692+0,326227901497136i</v>
      </c>
      <c r="AO162" s="10">
        <f t="shared" si="48"/>
        <v>0.33561864388117663</v>
      </c>
      <c r="AP162" s="10">
        <f t="shared" si="49"/>
        <v>1.8079117487706542</v>
      </c>
      <c r="AQ162" s="10">
        <f t="shared" si="50"/>
        <v>103.58571293667448</v>
      </c>
      <c r="AR162" s="10">
        <f t="shared" si="51"/>
        <v>-9.4830784354235682</v>
      </c>
      <c r="AS162" s="10">
        <f t="shared" si="52"/>
        <v>-17.923151114145284</v>
      </c>
      <c r="AT162" s="10">
        <f t="shared" si="53"/>
        <v>36.725330601936648</v>
      </c>
    </row>
    <row r="163" spans="25:46" x14ac:dyDescent="0.35">
      <c r="Y163" s="10">
        <v>161</v>
      </c>
      <c r="Z163" s="10">
        <f t="shared" si="44"/>
        <v>67608.297539198174</v>
      </c>
      <c r="AA163" s="10" t="str">
        <f t="shared" si="45"/>
        <v>424795,461741716i</v>
      </c>
      <c r="AC163" s="10">
        <f>1/(2*$T$3+$T$6*$T$2/('4. Boost Inductor'!$B$11*$T$3^2)*($T$5))</f>
        <v>0.32865720058048542</v>
      </c>
      <c r="AD163" s="10" t="str">
        <f t="shared" si="40"/>
        <v>0,00499620368064565-0,0016133164236257i</v>
      </c>
      <c r="AE163" s="10" t="str">
        <f t="shared" si="41"/>
        <v>0,625078680651175-0,766053559027508i</v>
      </c>
      <c r="AF163" s="10" t="str">
        <f t="shared" si="46"/>
        <v>0,136448411356611-0,349651181278395i</v>
      </c>
      <c r="AG163" s="10">
        <f t="shared" si="36"/>
        <v>0.37533200973420849</v>
      </c>
      <c r="AH163" s="10">
        <f t="shared" si="37"/>
        <v>-1.1987306282972645</v>
      </c>
      <c r="AI163" s="10">
        <f t="shared" si="38"/>
        <v>-68.682205774498712</v>
      </c>
      <c r="AJ163" s="10">
        <f t="shared" si="39"/>
        <v>-8.5116879146094213</v>
      </c>
      <c r="AL163" s="10" t="str">
        <f t="shared" si="42"/>
        <v>0,0172181917390152-0,000111734114968888i</v>
      </c>
      <c r="AM163" s="10" t="str">
        <f t="shared" si="43"/>
        <v>0,0118024976759863-0,0453992997006049i</v>
      </c>
      <c r="AN163" s="10" t="str">
        <f t="shared" si="47"/>
        <v>-0,0770640136924799+0,304534999893554i</v>
      </c>
      <c r="AO163" s="10">
        <f t="shared" si="48"/>
        <v>0.31413441130599118</v>
      </c>
      <c r="AP163" s="10">
        <f t="shared" si="49"/>
        <v>1.8186479308643797</v>
      </c>
      <c r="AQ163" s="10">
        <f t="shared" si="50"/>
        <v>104.20085085872887</v>
      </c>
      <c r="AR163" s="10">
        <f t="shared" si="51"/>
        <v>-10.057689739286516</v>
      </c>
      <c r="AS163" s="10">
        <f t="shared" si="52"/>
        <v>-18.569377653895938</v>
      </c>
      <c r="AT163" s="10">
        <f t="shared" si="53"/>
        <v>35.518645084230158</v>
      </c>
    </row>
    <row r="164" spans="25:46" x14ac:dyDescent="0.35">
      <c r="Y164" s="10">
        <v>162</v>
      </c>
      <c r="Z164" s="10">
        <f t="shared" si="44"/>
        <v>72443.596007498985</v>
      </c>
      <c r="AA164" s="10" t="str">
        <f t="shared" si="45"/>
        <v>455176,538033571i</v>
      </c>
      <c r="AC164" s="10">
        <f>1/(2*$T$3+$T$6*$T$2/('4. Boost Inductor'!$B$11*$T$3^2)*($T$5))</f>
        <v>0.32865720058048542</v>
      </c>
      <c r="AD164" s="10" t="str">
        <f t="shared" si="40"/>
        <v>0,00499586614033196-0,00150563500165933i</v>
      </c>
      <c r="AE164" s="10" t="str">
        <f t="shared" si="41"/>
        <v>0,581297131529541-0,79814293889399i</v>
      </c>
      <c r="AF164" s="10" t="str">
        <f t="shared" si="46"/>
        <v>0,123089206344597-0,351590916488035i</v>
      </c>
      <c r="AG164" s="10">
        <f t="shared" si="36"/>
        <v>0.37251459739913434</v>
      </c>
      <c r="AH164" s="10">
        <f t="shared" si="37"/>
        <v>-1.2340394505043859</v>
      </c>
      <c r="AI164" s="10">
        <f t="shared" si="38"/>
        <v>-70.705252266544562</v>
      </c>
      <c r="AJ164" s="10">
        <f t="shared" si="39"/>
        <v>-8.5771340853912967</v>
      </c>
      <c r="AL164" s="10" t="str">
        <f t="shared" si="42"/>
        <v>0,0172181900998348-0,000104276343514383i</v>
      </c>
      <c r="AM164" s="10" t="str">
        <f t="shared" si="43"/>
        <v>0,011533858586255-0,0423806096333844i</v>
      </c>
      <c r="AN164" s="10" t="str">
        <f t="shared" si="47"/>
        <v>-0,0755191388162077+0,284274807764528i</v>
      </c>
      <c r="AO164" s="10">
        <f t="shared" si="48"/>
        <v>0.29413484434371423</v>
      </c>
      <c r="AP164" s="10">
        <f t="shared" si="49"/>
        <v>1.8304543558801827</v>
      </c>
      <c r="AQ164" s="10">
        <f t="shared" si="50"/>
        <v>104.87730918327206</v>
      </c>
      <c r="AR164" s="10">
        <f t="shared" si="51"/>
        <v>-10.629070485048956</v>
      </c>
      <c r="AS164" s="10">
        <f t="shared" si="52"/>
        <v>-19.206204570440253</v>
      </c>
      <c r="AT164" s="10">
        <f t="shared" si="53"/>
        <v>34.172056916727499</v>
      </c>
    </row>
    <row r="165" spans="25:46" x14ac:dyDescent="0.35">
      <c r="Y165" s="10">
        <v>163</v>
      </c>
      <c r="Z165" s="10">
        <f t="shared" si="44"/>
        <v>77624.711662869129</v>
      </c>
      <c r="AA165" s="10" t="str">
        <f t="shared" si="45"/>
        <v>487730,447794191i</v>
      </c>
      <c r="AC165" s="10">
        <f>1/(2*$T$3+$T$6*$T$2/('4. Boost Inductor'!$B$11*$T$3^2)*($T$5))</f>
        <v>0.32865720058048542</v>
      </c>
      <c r="AD165" s="10" t="str">
        <f t="shared" si="40"/>
        <v>0,004995572154822-0,00140514075589406i</v>
      </c>
      <c r="AE165" s="10" t="str">
        <f t="shared" si="41"/>
        <v>0,533890717998053-0,828889815727033i</v>
      </c>
      <c r="AF165" s="10" t="str">
        <f t="shared" si="46"/>
        <v>0,108629159384484-0,353639587254126i</v>
      </c>
      <c r="AG165" s="10">
        <f t="shared" si="36"/>
        <v>0.36994763405358905</v>
      </c>
      <c r="AH165" s="10">
        <f t="shared" si="37"/>
        <v>-1.2727702403246108</v>
      </c>
      <c r="AI165" s="10">
        <f t="shared" si="38"/>
        <v>-72.924363060451711</v>
      </c>
      <c r="AJ165" s="10">
        <f t="shared" si="39"/>
        <v>-8.6371949160151154</v>
      </c>
      <c r="AL165" s="10" t="str">
        <f t="shared" si="42"/>
        <v>0,0172181886721684-0,0000973163461975515i</v>
      </c>
      <c r="AM165" s="10" t="str">
        <f t="shared" si="43"/>
        <v>0,0112997646885047-0,039561253102364i</v>
      </c>
      <c r="AN165" s="10" t="str">
        <f t="shared" si="47"/>
        <v>-0,0741729248098493+0,2653545313301i</v>
      </c>
      <c r="AO165" s="10">
        <f t="shared" si="48"/>
        <v>0.27552613319295977</v>
      </c>
      <c r="AP165" s="10">
        <f t="shared" si="49"/>
        <v>1.8433634576335765</v>
      </c>
      <c r="AQ165" s="10">
        <f t="shared" si="50"/>
        <v>105.61694623104646</v>
      </c>
      <c r="AR165" s="10">
        <f t="shared" si="51"/>
        <v>-11.196744055065025</v>
      </c>
      <c r="AS165" s="10">
        <f t="shared" si="52"/>
        <v>-19.833938971080141</v>
      </c>
      <c r="AT165" s="10">
        <f t="shared" si="53"/>
        <v>32.692583170594745</v>
      </c>
    </row>
    <row r="166" spans="25:46" x14ac:dyDescent="0.35">
      <c r="Y166" s="10">
        <v>164</v>
      </c>
      <c r="Z166" s="10">
        <f t="shared" si="44"/>
        <v>83176.377110267029</v>
      </c>
      <c r="AA166" s="10" t="str">
        <f t="shared" si="45"/>
        <v>522612,590563658i</v>
      </c>
      <c r="AC166" s="10">
        <f>1/(2*$T$3+$T$6*$T$2/('4. Boost Inductor'!$B$11*$T$3^2)*($T$5))</f>
        <v>0.32865720058048542</v>
      </c>
      <c r="AD166" s="10" t="str">
        <f t="shared" si="40"/>
        <v>0,00499531610400529-0,00131135399112225i</v>
      </c>
      <c r="AE166" s="10" t="str">
        <f t="shared" si="41"/>
        <v>0,482898382840701-0,857816980085034i</v>
      </c>
      <c r="AF166" s="10" t="str">
        <f t="shared" si="46"/>
        <v>0,0930797408318251-0,355616915657176i</v>
      </c>
      <c r="AG166" s="10">
        <f t="shared" si="36"/>
        <v>0.36759655718578593</v>
      </c>
      <c r="AH166" s="10">
        <f t="shared" si="37"/>
        <v>-1.3147976378197963</v>
      </c>
      <c r="AI166" s="10">
        <f t="shared" si="38"/>
        <v>-75.332355560844519</v>
      </c>
      <c r="AJ166" s="10">
        <f t="shared" si="39"/>
        <v>-8.6925712951318648</v>
      </c>
      <c r="AL166" s="10" t="str">
        <f t="shared" si="42"/>
        <v>0,0172181874287229-0,0000908208987416228i</v>
      </c>
      <c r="AM166" s="10" t="str">
        <f t="shared" si="43"/>
        <v>0,0110957870675385-0,0369283266723028i</v>
      </c>
      <c r="AN166" s="10" t="str">
        <f t="shared" si="47"/>
        <v>-0,0729999020071552+0,247687043347899i</v>
      </c>
      <c r="AO166" s="10">
        <f t="shared" si="48"/>
        <v>0.25822055908753327</v>
      </c>
      <c r="AP166" s="10">
        <f t="shared" si="49"/>
        <v>1.8574079295234496</v>
      </c>
      <c r="AQ166" s="10">
        <f t="shared" si="50"/>
        <v>106.42163519582633</v>
      </c>
      <c r="AR166" s="10">
        <f t="shared" si="51"/>
        <v>-11.760183657905117</v>
      </c>
      <c r="AS166" s="10">
        <f t="shared" si="52"/>
        <v>-20.45275495303698</v>
      </c>
      <c r="AT166" s="10">
        <f t="shared" si="53"/>
        <v>31.089279634981807</v>
      </c>
    </row>
    <row r="167" spans="25:46" x14ac:dyDescent="0.35">
      <c r="Y167" s="10">
        <v>165</v>
      </c>
      <c r="Z167" s="10">
        <f t="shared" si="44"/>
        <v>89125.093813374449</v>
      </c>
      <c r="AA167" s="10" t="str">
        <f t="shared" si="45"/>
        <v>559989,479949197i</v>
      </c>
      <c r="AC167" s="10">
        <f>1/(2*$T$3+$T$6*$T$2/('4. Boost Inductor'!$B$11*$T$3^2)*($T$5))</f>
        <v>0.32865720058048542</v>
      </c>
      <c r="AD167" s="10" t="str">
        <f t="shared" si="40"/>
        <v>0,0049950930929594-0,00122382702637922i</v>
      </c>
      <c r="AE167" s="10" t="str">
        <f t="shared" si="41"/>
        <v>0,42843842144888-0,884429390883204i</v>
      </c>
      <c r="AF167" s="10" t="str">
        <f t="shared" si="46"/>
        <v>0,0764766459939436-0,357339497492989i</v>
      </c>
      <c r="AG167" s="10">
        <f t="shared" si="36"/>
        <v>0.36543151732031109</v>
      </c>
      <c r="AH167" s="10">
        <f t="shared" si="37"/>
        <v>-1.3599601421770582</v>
      </c>
      <c r="AI167" s="10">
        <f t="shared" si="38"/>
        <v>-77.919976452756814</v>
      </c>
      <c r="AJ167" s="10">
        <f t="shared" si="39"/>
        <v>-8.7438799766694153</v>
      </c>
      <c r="AL167" s="10" t="str">
        <f t="shared" si="42"/>
        <v>0,0172181863457272-0,0000847589944462695i</v>
      </c>
      <c r="AM167" s="10" t="str">
        <f t="shared" si="43"/>
        <v>0,0109180613991983-0,0344697134650624i</v>
      </c>
      <c r="AN167" s="10" t="str">
        <f t="shared" si="47"/>
        <v>-0,0719778475908483+0,231190602588574i</v>
      </c>
      <c r="AO167" s="10">
        <f t="shared" si="48"/>
        <v>0.24213612962356393</v>
      </c>
      <c r="AP167" s="10">
        <f t="shared" si="49"/>
        <v>1.8726199695637935</v>
      </c>
      <c r="AQ167" s="10">
        <f t="shared" si="50"/>
        <v>107.29322088792203</v>
      </c>
      <c r="AR167" s="10">
        <f t="shared" si="51"/>
        <v>-12.318808075233612</v>
      </c>
      <c r="AS167" s="10">
        <f t="shared" si="52"/>
        <v>-21.062688051903027</v>
      </c>
      <c r="AT167" s="10">
        <f t="shared" si="53"/>
        <v>29.373244435165219</v>
      </c>
    </row>
    <row r="168" spans="25:46" x14ac:dyDescent="0.35">
      <c r="Y168" s="10">
        <v>166</v>
      </c>
      <c r="Z168" s="10">
        <f t="shared" si="44"/>
        <v>95499.258602143629</v>
      </c>
      <c r="AA168" s="10" t="str">
        <f t="shared" si="45"/>
        <v>600039,538495533i</v>
      </c>
      <c r="AC168" s="10">
        <f>1/(2*$T$3+$T$6*$T$2/('4. Boost Inductor'!$B$11*$T$3^2)*($T$5))</f>
        <v>0.32865720058048542</v>
      </c>
      <c r="AD168" s="10" t="str">
        <f t="shared" si="40"/>
        <v>0,00499489885837681-0,00114214205875713i</v>
      </c>
      <c r="AE168" s="10" t="str">
        <f t="shared" si="41"/>
        <v>0,370716025120077-0,908229682352483i</v>
      </c>
      <c r="AF168" s="10" t="str">
        <f t="shared" si="46"/>
        <v>0,0588820863204108-0,358625369935767i</v>
      </c>
      <c r="AG168" s="10">
        <f t="shared" si="36"/>
        <v>0.3634270986745623</v>
      </c>
      <c r="AH168" s="10">
        <f t="shared" si="37"/>
        <v>-1.4080600075229923</v>
      </c>
      <c r="AI168" s="10">
        <f t="shared" si="38"/>
        <v>-80.675895732226408</v>
      </c>
      <c r="AJ168" s="10">
        <f t="shared" si="39"/>
        <v>-8.7916538594340832</v>
      </c>
      <c r="AL168" s="10" t="str">
        <f t="shared" si="42"/>
        <v>0,0172181854024774-0,0000791016961741293i</v>
      </c>
      <c r="AM168" s="10" t="str">
        <f t="shared" si="43"/>
        <v>0,0107632167560411-0,0321740445224923i</v>
      </c>
      <c r="AN168" s="10" t="str">
        <f t="shared" si="47"/>
        <v>-0,0710873761644204+0,215788574027606i</v>
      </c>
      <c r="AO168" s="10">
        <f t="shared" si="48"/>
        <v>0.22719622296774522</v>
      </c>
      <c r="AP168" s="10">
        <f t="shared" si="49"/>
        <v>1.8890303884285093</v>
      </c>
      <c r="AQ168" s="10">
        <f t="shared" si="50"/>
        <v>108.23346862891212</v>
      </c>
      <c r="AR168" s="10">
        <f t="shared" si="51"/>
        <v>-12.871977856922939</v>
      </c>
      <c r="AS168" s="10">
        <f t="shared" si="52"/>
        <v>-21.663631716357024</v>
      </c>
      <c r="AT168" s="10">
        <f t="shared" si="53"/>
        <v>27.557572896685713</v>
      </c>
    </row>
    <row r="169" spans="25:46" x14ac:dyDescent="0.35">
      <c r="Y169" s="10">
        <v>167</v>
      </c>
      <c r="Z169" s="10">
        <f t="shared" si="44"/>
        <v>102329.29922807543</v>
      </c>
      <c r="AA169" s="10" t="str">
        <f t="shared" si="45"/>
        <v>642953,949403827i</v>
      </c>
      <c r="AC169" s="10">
        <f>1/(2*$T$3+$T$6*$T$2/('4. Boost Inductor'!$B$11*$T$3^2)*($T$5))</f>
        <v>0.32865720058048542</v>
      </c>
      <c r="AD169" s="10" t="str">
        <f t="shared" si="40"/>
        <v>0,00499472968706569-0,00106590916968265i</v>
      </c>
      <c r="AE169" s="10" t="str">
        <f t="shared" si="41"/>
        <v>0,31002725846768-0,928736375286357i</v>
      </c>
      <c r="AF169" s="10" t="str">
        <f t="shared" si="46"/>
        <v>0,040385995379897-0,359299413158664i</v>
      </c>
      <c r="AG169" s="10">
        <f t="shared" si="36"/>
        <v>0.36156202361280337</v>
      </c>
      <c r="AH169" s="10">
        <f t="shared" si="37"/>
        <v>-1.4588640781054532</v>
      </c>
      <c r="AI169" s="10">
        <f t="shared" si="38"/>
        <v>-83.586754558686152</v>
      </c>
      <c r="AJ169" s="10">
        <f t="shared" si="39"/>
        <v>-8.8363438317173983</v>
      </c>
      <c r="AL169" s="10" t="str">
        <f t="shared" si="42"/>
        <v>0,0172181845809411-0,0000738219982165532i</v>
      </c>
      <c r="AM169" s="10" t="str">
        <f t="shared" si="43"/>
        <v>0,0106283132017868-0,0300306601878718i</v>
      </c>
      <c r="AN169" s="10" t="str">
        <f t="shared" si="47"/>
        <v>-0,0703115808678671+0,201409152995525i</v>
      </c>
      <c r="AO169" s="10">
        <f t="shared" si="48"/>
        <v>0.21332924158331742</v>
      </c>
      <c r="AP169" s="10">
        <f t="shared" si="49"/>
        <v>1.906667570910201</v>
      </c>
      <c r="AQ169" s="10">
        <f t="shared" si="50"/>
        <v>109.24400474761514</v>
      </c>
      <c r="AR169" s="10">
        <f t="shared" si="51"/>
        <v>-13.418992212355679</v>
      </c>
      <c r="AS169" s="10">
        <f t="shared" si="52"/>
        <v>-22.255336044073076</v>
      </c>
      <c r="AT169" s="10">
        <f t="shared" si="53"/>
        <v>25.657250188928984</v>
      </c>
    </row>
    <row r="170" spans="25:46" x14ac:dyDescent="0.35">
      <c r="Y170" s="10">
        <v>168</v>
      </c>
      <c r="Z170" s="10">
        <f t="shared" si="44"/>
        <v>109647.81961431848</v>
      </c>
      <c r="AA170" s="10" t="str">
        <f t="shared" si="45"/>
        <v>688937,569164963i</v>
      </c>
      <c r="AC170" s="10">
        <f>1/(2*$T$3+$T$6*$T$2/('4. Boost Inductor'!$B$11*$T$3^2)*($T$5))</f>
        <v>0.32865720058048542</v>
      </c>
      <c r="AD170" s="10" t="str">
        <f t="shared" si="40"/>
        <v>0,00499458234496636-0,000994764464171706i</v>
      </c>
      <c r="AE170" s="10" t="str">
        <f t="shared" si="41"/>
        <v>0,246758492866643-0,945503846575663i</v>
      </c>
      <c r="AF170" s="10" t="str">
        <f t="shared" si="46"/>
        <v>0,0211058516048051-0,359199297078138i</v>
      </c>
      <c r="AG170" s="10">
        <f t="shared" si="36"/>
        <v>0.35981883218279792</v>
      </c>
      <c r="AH170" s="10">
        <f t="shared" si="37"/>
        <v>-1.5121057542127982</v>
      </c>
      <c r="AI170" s="10">
        <f t="shared" si="38"/>
        <v>-86.637277893839538</v>
      </c>
      <c r="AJ170" s="10">
        <f t="shared" si="39"/>
        <v>-8.8783222061885017</v>
      </c>
      <c r="AL170" s="10" t="str">
        <f t="shared" si="42"/>
        <v>0,0172181838654129-0,0000688946973791857i</v>
      </c>
      <c r="AM170" s="10" t="str">
        <f t="shared" si="43"/>
        <v>0,0105107871356788-0,0280295719739227i</v>
      </c>
      <c r="AN170" s="10" t="str">
        <f t="shared" si="47"/>
        <v>-0,0696357190626711+0,187985095719787i</v>
      </c>
      <c r="AO170" s="10">
        <f t="shared" si="48"/>
        <v>0.20046827574993686</v>
      </c>
      <c r="AP170" s="10">
        <f t="shared" si="49"/>
        <v>1.9255562857964765</v>
      </c>
      <c r="AQ170" s="10">
        <f t="shared" si="50"/>
        <v>110.32624839102465</v>
      </c>
      <c r="AR170" s="10">
        <f t="shared" si="51"/>
        <v>-13.95908690046204</v>
      </c>
      <c r="AS170" s="10">
        <f t="shared" si="52"/>
        <v>-22.83740910665054</v>
      </c>
      <c r="AT170" s="10">
        <f t="shared" si="53"/>
        <v>23.68897049718511</v>
      </c>
    </row>
    <row r="171" spans="25:46" x14ac:dyDescent="0.35">
      <c r="Y171" s="10">
        <v>169</v>
      </c>
      <c r="Z171" s="10">
        <f t="shared" si="44"/>
        <v>117489.75549395289</v>
      </c>
      <c r="AA171" s="10" t="str">
        <f t="shared" si="45"/>
        <v>738209,905463727i</v>
      </c>
      <c r="AC171" s="10">
        <f>1/(2*$T$3+$T$6*$T$2/('4. Boost Inductor'!$B$11*$T$3^2)*($T$5))</f>
        <v>0.32865720058048542</v>
      </c>
      <c r="AD171" s="10" t="str">
        <f t="shared" si="40"/>
        <v>0,00499445401532701-0,000928368334203442i</v>
      </c>
      <c r="AE171" s="10" t="str">
        <f t="shared" si="41"/>
        <v>0,181380609152358-0,958142734592979i</v>
      </c>
      <c r="AF171" s="10" t="str">
        <f t="shared" si="46"/>
        <v>0,00118490852594962-0,358181569774138i</v>
      </c>
      <c r="AG171" s="10">
        <f t="shared" si="36"/>
        <v>0.35818352968007972</v>
      </c>
      <c r="AH171" s="10">
        <f t="shared" si="37"/>
        <v>-1.5674882163181143</v>
      </c>
      <c r="AI171" s="10">
        <f t="shared" si="38"/>
        <v>-89.81045923151737</v>
      </c>
      <c r="AJ171" s="10">
        <f t="shared" si="39"/>
        <v>-8.9178877630122848</v>
      </c>
      <c r="AL171" s="10" t="str">
        <f t="shared" si="42"/>
        <v>0,0172181832422138-0,0000642962726720035i</v>
      </c>
      <c r="AM171" s="10" t="str">
        <f t="shared" si="43"/>
        <v>0,0104084034592483-0,026161425269228i</v>
      </c>
      <c r="AN171" s="10" t="str">
        <f t="shared" si="47"/>
        <v>-0,0690469372517982+0,175453458040823i</v>
      </c>
      <c r="AO171" s="10">
        <f t="shared" si="48"/>
        <v>0.18855077693379202</v>
      </c>
      <c r="AP171" s="10">
        <f t="shared" si="49"/>
        <v>1.9457163460530149</v>
      </c>
      <c r="AQ171" s="10">
        <f t="shared" si="50"/>
        <v>111.48133475845374</v>
      </c>
      <c r="AR171" s="10">
        <f t="shared" si="51"/>
        <v>-14.491433474410018</v>
      </c>
      <c r="AS171" s="10">
        <f t="shared" si="52"/>
        <v>-23.409321237422304</v>
      </c>
      <c r="AT171" s="10">
        <f t="shared" si="53"/>
        <v>21.670875526936371</v>
      </c>
    </row>
    <row r="172" spans="25:46" x14ac:dyDescent="0.35">
      <c r="Y172" s="10">
        <v>170</v>
      </c>
      <c r="Z172" s="10">
        <f t="shared" si="44"/>
        <v>125892.54117941685</v>
      </c>
      <c r="AA172" s="10" t="str">
        <f t="shared" si="45"/>
        <v>791006,165022013i</v>
      </c>
      <c r="AC172" s="10">
        <f>1/(2*$T$3+$T$6*$T$2/('4. Boost Inductor'!$B$11*$T$3^2)*($T$5))</f>
        <v>0.32865720058048542</v>
      </c>
      <c r="AD172" s="10" t="str">
        <f t="shared" si="40"/>
        <v>0,00499434224485669-0,000866403837943539i</v>
      </c>
      <c r="AE172" s="10" t="str">
        <f t="shared" si="41"/>
        <v>0,114437730046723-0,966339186433245i</v>
      </c>
      <c r="AF172" s="10" t="str">
        <f t="shared" si="46"/>
        <v>-0,0192112405361037-0,356127401467505i</v>
      </c>
      <c r="AG172" s="10">
        <f t="shared" si="36"/>
        <v>0.35664519881660184</v>
      </c>
      <c r="AH172" s="10">
        <f t="shared" si="37"/>
        <v>-1.6246889442159735</v>
      </c>
      <c r="AI172" s="10">
        <f t="shared" si="38"/>
        <v>-93.087819525140929</v>
      </c>
      <c r="AJ172" s="10">
        <f t="shared" si="39"/>
        <v>-8.9552723621518933</v>
      </c>
      <c r="AL172" s="10" t="str">
        <f t="shared" si="42"/>
        <v>0,0172181826994302-0,0000600047730295035i</v>
      </c>
      <c r="AM172" s="10" t="str">
        <f t="shared" si="43"/>
        <v>0,0103192137403378-0,0244174631415285i</v>
      </c>
      <c r="AN172" s="10" t="str">
        <f t="shared" si="47"/>
        <v>-0,0685340304892428+0,163755343564183i</v>
      </c>
      <c r="AO172" s="10">
        <f t="shared" si="48"/>
        <v>0.17751824098081884</v>
      </c>
      <c r="AP172" s="10">
        <f t="shared" si="49"/>
        <v>1.9671611307316588</v>
      </c>
      <c r="AQ172" s="10">
        <f t="shared" si="50"/>
        <v>112.71003041310684</v>
      </c>
      <c r="AR172" s="10">
        <f t="shared" si="51"/>
        <v>-15.015140283131236</v>
      </c>
      <c r="AS172" s="10">
        <f t="shared" si="52"/>
        <v>-23.97041264528313</v>
      </c>
      <c r="AT172" s="10">
        <f t="shared" si="53"/>
        <v>19.622210887965906</v>
      </c>
    </row>
    <row r="173" spans="25:46" x14ac:dyDescent="0.35">
      <c r="Y173" s="10">
        <v>171</v>
      </c>
      <c r="Z173" s="10">
        <f t="shared" si="44"/>
        <v>134896.28825916522</v>
      </c>
      <c r="AA173" s="10" t="str">
        <f t="shared" si="45"/>
        <v>847578,376383049i</v>
      </c>
      <c r="AC173" s="10">
        <f>1/(2*$T$3+$T$6*$T$2/('4. Boost Inductor'!$B$11*$T$3^2)*($T$5))</f>
        <v>0.32865720058048542</v>
      </c>
      <c r="AD173" s="10" t="str">
        <f t="shared" si="40"/>
        <v>0,0049942448968261-0,000808575187096112i</v>
      </c>
      <c r="AE173" s="10" t="str">
        <f t="shared" si="41"/>
        <v>0,0465308014544759-0,969871255941088i</v>
      </c>
      <c r="AF173" s="10" t="str">
        <f t="shared" si="46"/>
        <v>-0,0398996661782311-0,352947468407333i</v>
      </c>
      <c r="AG173" s="10">
        <f t="shared" si="36"/>
        <v>0.35519557826115972</v>
      </c>
      <c r="AH173" s="10">
        <f t="shared" si="37"/>
        <v>-1.6833654582747473</v>
      </c>
      <c r="AI173" s="10">
        <f t="shared" si="38"/>
        <v>-96.449736137248706</v>
      </c>
      <c r="AJ173" s="10">
        <f t="shared" si="39"/>
        <v>-8.9906489856126282</v>
      </c>
      <c r="AL173" s="10" t="str">
        <f t="shared" si="42"/>
        <v>0,0172181822266854-0,0000559997125250691i</v>
      </c>
      <c r="AM173" s="10" t="str">
        <f t="shared" si="43"/>
        <v>0,0102415196425163-0,0227894914217246i</v>
      </c>
      <c r="AN173" s="10" t="str">
        <f t="shared" si="47"/>
        <v>-0,0680872320701216+0,15283566209647i</v>
      </c>
      <c r="AO173" s="10">
        <f t="shared" si="48"/>
        <v>0.16731590115538017</v>
      </c>
      <c r="AP173" s="10">
        <f t="shared" si="49"/>
        <v>1.989895992399171</v>
      </c>
      <c r="AQ173" s="10">
        <f t="shared" si="50"/>
        <v>114.01264203446904</v>
      </c>
      <c r="AR173" s="10">
        <f t="shared" si="51"/>
        <v>-15.529255663014448</v>
      </c>
      <c r="AS173" s="10">
        <f t="shared" si="52"/>
        <v>-24.519904648627076</v>
      </c>
      <c r="AT173" s="10">
        <f t="shared" si="53"/>
        <v>17.562905897220332</v>
      </c>
    </row>
    <row r="174" spans="25:46" x14ac:dyDescent="0.35">
      <c r="Y174" s="10">
        <v>172</v>
      </c>
      <c r="Z174" s="10">
        <f t="shared" si="44"/>
        <v>144543.97707459255</v>
      </c>
      <c r="AA174" s="10" t="str">
        <f t="shared" si="45"/>
        <v>908196,592996383i</v>
      </c>
      <c r="AC174" s="10">
        <f>1/(2*$T$3+$T$6*$T$2/('4. Boost Inductor'!$B$11*$T$3^2)*($T$5))</f>
        <v>0.32865720058048542</v>
      </c>
      <c r="AD174" s="10" t="str">
        <f t="shared" si="40"/>
        <v>0,00499416011022042-0,000754606335176823i</v>
      </c>
      <c r="AE174" s="10" t="str">
        <f t="shared" si="41"/>
        <v>-0,0217030658867068-0,968620886192822i</v>
      </c>
      <c r="AF174" s="10" t="str">
        <f t="shared" si="46"/>
        <v>-0,0606863974427485-0,348585499052429i</v>
      </c>
      <c r="AG174" s="10">
        <f t="shared" si="36"/>
        <v>0.35382861527045861</v>
      </c>
      <c r="AH174" s="10">
        <f t="shared" si="37"/>
        <v>-1.7431620938428871</v>
      </c>
      <c r="AI174" s="10">
        <f t="shared" si="38"/>
        <v>-99.875830984384962</v>
      </c>
      <c r="AJ174" s="10">
        <f t="shared" si="39"/>
        <v>-9.0241409439854667</v>
      </c>
      <c r="AL174" s="10" t="str">
        <f t="shared" si="42"/>
        <v>0,0172181818149419-0,0000522619725793112i</v>
      </c>
      <c r="AM174" s="10" t="str">
        <f t="shared" si="43"/>
        <v>0,0101738409723981-0,0212698451930633i</v>
      </c>
      <c r="AN174" s="10" t="str">
        <f t="shared" si="47"/>
        <v>-0,0676980297776326+0,142642898885647i</v>
      </c>
      <c r="AO174" s="10">
        <f t="shared" si="48"/>
        <v>0.15789243122542052</v>
      </c>
      <c r="AP174" s="10">
        <f t="shared" si="49"/>
        <v>2.0139165890318074</v>
      </c>
      <c r="AQ174" s="10">
        <f t="shared" si="50"/>
        <v>115.38892084290526</v>
      </c>
      <c r="AR174" s="10">
        <f t="shared" si="51"/>
        <v>-16.032773759025815</v>
      </c>
      <c r="AS174" s="10">
        <f t="shared" si="52"/>
        <v>-25.05691470301128</v>
      </c>
      <c r="AT174" s="10">
        <f t="shared" si="53"/>
        <v>15.513089858520303</v>
      </c>
    </row>
    <row r="175" spans="25:46" x14ac:dyDescent="0.35">
      <c r="Y175" s="10">
        <v>173</v>
      </c>
      <c r="Z175" s="10">
        <f t="shared" si="44"/>
        <v>154881.66189124787</v>
      </c>
      <c r="AA175" s="10" t="str">
        <f t="shared" si="45"/>
        <v>973150,182346645i</v>
      </c>
      <c r="AC175" s="10">
        <f>1/(2*$T$3+$T$6*$T$2/('4. Boost Inductor'!$B$11*$T$3^2)*($T$5))</f>
        <v>0.32865720058048542</v>
      </c>
      <c r="AD175" s="10" t="str">
        <f t="shared" si="40"/>
        <v>0,00499408626416215-0,00070423965997877i</v>
      </c>
      <c r="AE175" s="10" t="str">
        <f t="shared" si="41"/>
        <v>-0,0896140550011305-0,962580265051185i</v>
      </c>
      <c r="AF175" s="10" t="str">
        <f t="shared" si="46"/>
        <v>-0,0813735687791544-0,343020113080643i</v>
      </c>
      <c r="AG175" s="10">
        <f t="shared" si="36"/>
        <v>0.35254000577766043</v>
      </c>
      <c r="AH175" s="10">
        <f t="shared" si="37"/>
        <v>-1.8037175127789289</v>
      </c>
      <c r="AI175" s="10">
        <f t="shared" si="38"/>
        <v>-103.34540091606677</v>
      </c>
      <c r="AJ175" s="10">
        <f t="shared" si="39"/>
        <v>-9.0558318541529736</v>
      </c>
      <c r="AL175" s="10" t="str">
        <f t="shared" si="42"/>
        <v>0,0172181814563283-0,000048773710695574i</v>
      </c>
      <c r="AM175" s="10" t="str">
        <f t="shared" si="43"/>
        <v>0,010114887773272-0,019851356763122i</v>
      </c>
      <c r="AN175" s="10" t="str">
        <f t="shared" si="47"/>
        <v>-0,0673590053996609+0,133128894929816i</v>
      </c>
      <c r="AO175" s="10">
        <f t="shared" si="48"/>
        <v>0.14919965909366392</v>
      </c>
      <c r="AP175" s="10">
        <f t="shared" si="49"/>
        <v>2.039207196739901</v>
      </c>
      <c r="AQ175" s="10">
        <f t="shared" si="50"/>
        <v>116.83796592590006</v>
      </c>
      <c r="AR175" s="10">
        <f t="shared" si="51"/>
        <v>-16.524643383635599</v>
      </c>
      <c r="AS175" s="10">
        <f t="shared" si="52"/>
        <v>-25.580475237788573</v>
      </c>
      <c r="AT175" s="10">
        <f t="shared" si="53"/>
        <v>13.492565009833299</v>
      </c>
    </row>
    <row r="176" spans="25:46" x14ac:dyDescent="0.35">
      <c r="Y176" s="10">
        <v>174</v>
      </c>
      <c r="Z176" s="10">
        <f t="shared" si="44"/>
        <v>165958.69074375575</v>
      </c>
      <c r="AA176" s="10" t="str">
        <f t="shared" si="45"/>
        <v>1042749,20727993i</v>
      </c>
      <c r="AC176" s="10">
        <f>1/(2*$T$3+$T$6*$T$2/('4. Boost Inductor'!$B$11*$T$3^2)*($T$5))</f>
        <v>0.32865720058048542</v>
      </c>
      <c r="AD176" s="10" t="str">
        <f t="shared" si="40"/>
        <v>0,00499402194692523-0,000657234733950682i</v>
      </c>
      <c r="AE176" s="10" t="str">
        <f t="shared" si="41"/>
        <v>-0,156564095601223-0,951851888642433i</v>
      </c>
      <c r="AF176" s="10" t="str">
        <f t="shared" si="46"/>
        <v>-0,101766869406675-0,336264750170314i</v>
      </c>
      <c r="AG176" s="10">
        <f t="shared" si="36"/>
        <v>0.35132673954018773</v>
      </c>
      <c r="AH176" s="10">
        <f t="shared" si="37"/>
        <v>-1.8646725737768852</v>
      </c>
      <c r="AI176" s="10">
        <f t="shared" si="38"/>
        <v>-106.83786865121215</v>
      </c>
      <c r="AJ176" s="10">
        <f t="shared" si="39"/>
        <v>-9.0857758944063711</v>
      </c>
      <c r="AL176" s="10" t="str">
        <f t="shared" si="42"/>
        <v>0,0172181811439889-0,0000455182752869387i</v>
      </c>
      <c r="AM176" s="10" t="str">
        <f t="shared" si="43"/>
        <v>0,0100635359613765-0,018527325159455i</v>
      </c>
      <c r="AN176" s="10" t="str">
        <f t="shared" si="47"/>
        <v>-0,067063694618505+0,124248638419545i</v>
      </c>
      <c r="AO176" s="10">
        <f t="shared" si="48"/>
        <v>0.14119229187528237</v>
      </c>
      <c r="AP176" s="10">
        <f t="shared" si="49"/>
        <v>2.0657390782992047</v>
      </c>
      <c r="AQ176" s="10">
        <f t="shared" si="50"/>
        <v>118.35813076178913</v>
      </c>
      <c r="AR176" s="10">
        <f t="shared" si="51"/>
        <v>-17.003780242370819</v>
      </c>
      <c r="AS176" s="10">
        <f t="shared" si="52"/>
        <v>-26.08955613677719</v>
      </c>
      <c r="AT176" s="10">
        <f t="shared" si="53"/>
        <v>11.520262110576979</v>
      </c>
    </row>
    <row r="177" spans="25:46" x14ac:dyDescent="0.35">
      <c r="Y177" s="10">
        <v>175</v>
      </c>
      <c r="Z177" s="10">
        <f t="shared" si="44"/>
        <v>177827.94100389219</v>
      </c>
      <c r="AA177" s="10" t="str">
        <f t="shared" si="45"/>
        <v>1117325,90612165i</v>
      </c>
      <c r="AC177" s="10">
        <f>1/(2*$T$3+$T$6*$T$2/('4. Boost Inductor'!$B$11*$T$3^2)*($T$5))</f>
        <v>0.32865720058048542</v>
      </c>
      <c r="AD177" s="10" t="str">
        <f t="shared" si="40"/>
        <v>0,00499396592894688-0,000613367176624684i</v>
      </c>
      <c r="AE177" s="10" t="str">
        <f t="shared" si="41"/>
        <v>-0,221950371878559-0,936642323170933i</v>
      </c>
      <c r="AF177" s="10" t="str">
        <f t="shared" si="46"/>
        <v>-0,121682704357033-0,328365685208376i</v>
      </c>
      <c r="AG177" s="10">
        <f t="shared" si="36"/>
        <v>0.35018666988051866</v>
      </c>
      <c r="AH177" s="10">
        <f t="shared" si="37"/>
        <v>-1.9256781385092787</v>
      </c>
      <c r="AI177" s="10">
        <f t="shared" si="38"/>
        <v>-110.33323003719043</v>
      </c>
      <c r="AJ177" s="10">
        <f t="shared" si="39"/>
        <v>-9.1140077936932311</v>
      </c>
      <c r="AL177" s="10" t="str">
        <f t="shared" si="42"/>
        <v>0,0172181808719527-0,0000424801261881558i</v>
      </c>
      <c r="AM177" s="10" t="str">
        <f t="shared" si="43"/>
        <v>0,0100188060617181-0,0172914871612433i</v>
      </c>
      <c r="AN177" s="10" t="str">
        <f t="shared" si="47"/>
        <v>-0,0668064647254805+0,115960067226157i</v>
      </c>
      <c r="AO177" s="10">
        <f t="shared" si="48"/>
        <v>0.13382765379476588</v>
      </c>
      <c r="AP177" s="10">
        <f t="shared" si="49"/>
        <v>2.0934690005152556</v>
      </c>
      <c r="AQ177" s="10">
        <f t="shared" si="50"/>
        <v>119.94693827099492</v>
      </c>
      <c r="AR177" s="10">
        <f t="shared" si="51"/>
        <v>-17.469082716485151</v>
      </c>
      <c r="AS177" s="10">
        <f t="shared" si="52"/>
        <v>-26.58309051017838</v>
      </c>
      <c r="AT177" s="10">
        <f t="shared" si="53"/>
        <v>9.6137082338044877</v>
      </c>
    </row>
    <row r="178" spans="25:46" x14ac:dyDescent="0.35">
      <c r="Y178" s="10">
        <v>176</v>
      </c>
      <c r="Z178" s="10">
        <f t="shared" si="44"/>
        <v>190546.07179632425</v>
      </c>
      <c r="AA178" s="10" t="str">
        <f t="shared" si="45"/>
        <v>1197236,27865145i</v>
      </c>
      <c r="AC178" s="10">
        <f>1/(2*$T$3+$T$6*$T$2/('4. Boost Inductor'!$B$11*$T$3^2)*($T$5))</f>
        <v>0.32865720058048542</v>
      </c>
      <c r="AD178" s="10" t="str">
        <f t="shared" si="40"/>
        <v>0,00499391713932223-0,000572427583621395i</v>
      </c>
      <c r="AE178" s="10" t="str">
        <f t="shared" si="41"/>
        <v>-0,285226071926408-0,917250312648806i</v>
      </c>
      <c r="AF178" s="10" t="str">
        <f t="shared" si="46"/>
        <v>-0,140954514918162-0,319398326774986i</v>
      </c>
      <c r="AG178" s="10">
        <f t="shared" si="36"/>
        <v>0.34911812674576931</v>
      </c>
      <c r="AH178" s="10">
        <f t="shared" si="37"/>
        <v>-1.9864023907831727</v>
      </c>
      <c r="AI178" s="10">
        <f t="shared" si="38"/>
        <v>-113.81247340657225</v>
      </c>
      <c r="AJ178" s="10">
        <f t="shared" si="39"/>
        <v>-9.1405520273665619</v>
      </c>
      <c r="AL178" s="10" t="str">
        <f t="shared" si="42"/>
        <v>0,017218180635019-0,000039644760473053i</v>
      </c>
      <c r="AM178" s="10" t="str">
        <f t="shared" si="43"/>
        <v>0,00997984465413243-0,0161379898573758i</v>
      </c>
      <c r="AN178" s="10" t="str">
        <f t="shared" si="47"/>
        <v>-0,0665824079215849+0,108223882233021i</v>
      </c>
      <c r="AO178" s="10">
        <f t="shared" si="48"/>
        <v>0.12706543877161533</v>
      </c>
      <c r="AP178" s="10">
        <f t="shared" si="49"/>
        <v>2.1223380084820489</v>
      </c>
      <c r="AQ178" s="10">
        <f t="shared" si="50"/>
        <v>121.6010105862217</v>
      </c>
      <c r="AR178" s="10">
        <f t="shared" si="51"/>
        <v>-17.91945119063228</v>
      </c>
      <c r="AS178" s="10">
        <f t="shared" si="52"/>
        <v>-27.06000321799884</v>
      </c>
      <c r="AT178" s="10">
        <f t="shared" si="53"/>
        <v>7.7885371796494525</v>
      </c>
    </row>
    <row r="179" spans="25:46" x14ac:dyDescent="0.35">
      <c r="Y179" s="10">
        <v>177</v>
      </c>
      <c r="Z179" s="10">
        <f t="shared" si="44"/>
        <v>204173.79446695274</v>
      </c>
      <c r="AA179" s="10" t="str">
        <f t="shared" si="45"/>
        <v>1282861,78550586i</v>
      </c>
      <c r="AC179" s="10">
        <f>1/(2*$T$3+$T$6*$T$2/('4. Boost Inductor'!$B$11*$T$3^2)*($T$5))</f>
        <v>0.32865720058048542</v>
      </c>
      <c r="AD179" s="10" t="str">
        <f t="shared" si="40"/>
        <v>0,00499387464533169-0,000534220527124594i</v>
      </c>
      <c r="AE179" s="10" t="str">
        <f t="shared" si="41"/>
        <v>-0,345916926194975-0,894050430758668i</v>
      </c>
      <c r="AF179" s="10" t="str">
        <f t="shared" si="46"/>
        <v>-0,159437816037904-0,309462163502335i</v>
      </c>
      <c r="AG179" s="10">
        <f t="shared" si="36"/>
        <v>0.34811958839238344</v>
      </c>
      <c r="AH179" s="10">
        <f t="shared" si="37"/>
        <v>-2.0465372907320249</v>
      </c>
      <c r="AI179" s="10">
        <f t="shared" si="38"/>
        <v>-117.25794937508296</v>
      </c>
      <c r="AJ179" s="10">
        <f t="shared" si="39"/>
        <v>-9.1654307729598781</v>
      </c>
      <c r="AL179" s="10" t="str">
        <f t="shared" si="42"/>
        <v>0,0172181804286585-0,0000369986432233121i</v>
      </c>
      <c r="AM179" s="10" t="str">
        <f t="shared" si="43"/>
        <v>0,00994590818796335-0,0150613647048244i</v>
      </c>
      <c r="AN179" s="10" t="str">
        <f t="shared" si="47"/>
        <v>-0,0663872482395895+0,101003371221535i</v>
      </c>
      <c r="AO179" s="10">
        <f t="shared" si="48"/>
        <v>0.12086748002229583</v>
      </c>
      <c r="AP179" s="10">
        <f t="shared" si="49"/>
        <v>2.1522705738090711</v>
      </c>
      <c r="AQ179" s="10">
        <f t="shared" si="50"/>
        <v>123.3160202494597</v>
      </c>
      <c r="AR179" s="10">
        <f t="shared" si="51"/>
        <v>-18.353810648899028</v>
      </c>
      <c r="AS179" s="10">
        <f t="shared" si="52"/>
        <v>-27.519241421858908</v>
      </c>
      <c r="AT179" s="10">
        <f t="shared" si="53"/>
        <v>6.0580708743767389</v>
      </c>
    </row>
    <row r="180" spans="25:46" x14ac:dyDescent="0.35">
      <c r="Y180" s="10">
        <v>178</v>
      </c>
      <c r="Z180" s="10">
        <f t="shared" si="44"/>
        <v>218776.16239495497</v>
      </c>
      <c r="AA180" s="10" t="str">
        <f t="shared" si="45"/>
        <v>1374611,16912112i</v>
      </c>
      <c r="AC180" s="10">
        <f>1/(2*$T$3+$T$6*$T$2/('4. Boost Inductor'!$B$11*$T$3^2)*($T$5))</f>
        <v>0.32865720058048542</v>
      </c>
      <c r="AD180" s="10" t="str">
        <f t="shared" si="40"/>
        <v>0,00499383763461018-0,000498563623057871i</v>
      </c>
      <c r="AE180" s="10" t="str">
        <f t="shared" si="41"/>
        <v>-0,403632606904466-0,867473836218063i</v>
      </c>
      <c r="AF180" s="10" t="str">
        <f t="shared" si="46"/>
        <v>-0,177013668004617-0,298674832934897i</v>
      </c>
      <c r="AG180" s="10">
        <f t="shared" si="36"/>
        <v>0.34718942162620303</v>
      </c>
      <c r="AH180" s="10">
        <f t="shared" si="37"/>
        <v>-2.1058038681033162</v>
      </c>
      <c r="AI180" s="10">
        <f t="shared" si="38"/>
        <v>-120.6536741246435</v>
      </c>
      <c r="AJ180" s="10">
        <f t="shared" si="39"/>
        <v>-9.1886703127309097</v>
      </c>
      <c r="AL180" s="10" t="str">
        <f t="shared" si="42"/>
        <v>0,0172181802489259-0,000034529142918124i</v>
      </c>
      <c r="AM180" s="10" t="str">
        <f t="shared" si="43"/>
        <v>0,00991634886586753-0,0140565030488674i</v>
      </c>
      <c r="AN180" s="10" t="str">
        <f t="shared" si="47"/>
        <v>-0,0662172603652194+0,0942642429619455i</v>
      </c>
      <c r="AO180" s="10">
        <f t="shared" si="48"/>
        <v>0.11519753934639379</v>
      </c>
      <c r="AP180" s="10">
        <f t="shared" si="49"/>
        <v>2.1831742336608979</v>
      </c>
      <c r="AQ180" s="10">
        <f t="shared" si="50"/>
        <v>125.08666953047728</v>
      </c>
      <c r="AR180" s="10">
        <f t="shared" si="51"/>
        <v>-18.771135949453406</v>
      </c>
      <c r="AS180" s="10">
        <f t="shared" si="52"/>
        <v>-27.959806262184316</v>
      </c>
      <c r="AT180" s="10">
        <f t="shared" si="53"/>
        <v>4.432995405833779</v>
      </c>
    </row>
    <row r="181" spans="25:46" x14ac:dyDescent="0.35">
      <c r="Y181" s="10">
        <v>179</v>
      </c>
      <c r="Z181" s="10">
        <f t="shared" si="44"/>
        <v>234422.88153199226</v>
      </c>
      <c r="AA181" s="10" t="str">
        <f t="shared" si="45"/>
        <v>1472922,40490851i</v>
      </c>
      <c r="AC181" s="10">
        <f>1/(2*$T$3+$T$6*$T$2/('4. Boost Inductor'!$B$11*$T$3^2)*($T$5))</f>
        <v>0.32865720058048542</v>
      </c>
      <c r="AD181" s="10" t="str">
        <f t="shared" si="40"/>
        <v>0,00499380539961705-0,000465286660513477i</v>
      </c>
      <c r="AE181" s="10" t="str">
        <f t="shared" si="41"/>
        <v>-0,45807265216047-0,837987822402455i</v>
      </c>
      <c r="AF181" s="10" t="str">
        <f t="shared" si="46"/>
        <v>-0,193590479977203-0,287165827563184i</v>
      </c>
      <c r="AG181" s="10">
        <f t="shared" si="36"/>
        <v>0.34632569419240633</v>
      </c>
      <c r="AH181" s="10">
        <f t="shared" si="37"/>
        <v>-2.1639561649771633</v>
      </c>
      <c r="AI181" s="10">
        <f t="shared" si="38"/>
        <v>-123.98555530450673</v>
      </c>
      <c r="AJ181" s="10">
        <f t="shared" si="39"/>
        <v>-9.2103057317005472</v>
      </c>
      <c r="AL181" s="10" t="str">
        <f t="shared" si="42"/>
        <v>0,0172181800923854-0,0000322244711363062i</v>
      </c>
      <c r="AM181" s="10" t="str">
        <f t="shared" si="43"/>
        <v>0,00989060233442015-0,0131186330578341i</v>
      </c>
      <c r="AN181" s="10" t="str">
        <f t="shared" si="47"/>
        <v>-0,06606919884885+0,0879744711167175i</v>
      </c>
      <c r="AO181" s="10">
        <f t="shared" si="48"/>
        <v>0.11002111890357706</v>
      </c>
      <c r="AP181" s="10">
        <f t="shared" si="49"/>
        <v>2.2149398251095271</v>
      </c>
      <c r="AQ181" s="10">
        <f t="shared" si="50"/>
        <v>126.90670385422058</v>
      </c>
      <c r="AR181" s="10">
        <f t="shared" si="51"/>
        <v>-19.17047885266264</v>
      </c>
      <c r="AS181" s="10">
        <f t="shared" si="52"/>
        <v>-28.380784584363187</v>
      </c>
      <c r="AT181" s="10">
        <f t="shared" si="53"/>
        <v>2.9211485497138483</v>
      </c>
    </row>
    <row r="182" spans="25:46" x14ac:dyDescent="0.35">
      <c r="Y182" s="10">
        <v>180</v>
      </c>
      <c r="Z182" s="10">
        <f t="shared" si="44"/>
        <v>251188.64315095753</v>
      </c>
      <c r="AA182" s="10" t="str">
        <f t="shared" si="45"/>
        <v>1578264,79197647i</v>
      </c>
      <c r="AC182" s="10">
        <f>1/(2*$T$3+$T$6*$T$2/('4. Boost Inductor'!$B$11*$T$3^2)*($T$5))</f>
        <v>0.32865720058048542</v>
      </c>
      <c r="AD182" s="10" t="str">
        <f t="shared" si="40"/>
        <v>0,00499377732411002-0,000434230789280108i</v>
      </c>
      <c r="AE182" s="10" t="str">
        <f t="shared" si="41"/>
        <v>-0,509027139242886-0,806075760731817i</v>
      </c>
      <c r="AF182" s="10" t="str">
        <f t="shared" si="46"/>
        <v>-0,209104213722168-0,275070324932615i</v>
      </c>
      <c r="AG182" s="10">
        <f t="shared" si="36"/>
        <v>0.34552605669457193</v>
      </c>
      <c r="AH182" s="10">
        <f t="shared" si="37"/>
        <v>-2.2207837531612364</v>
      </c>
      <c r="AI182" s="10">
        <f t="shared" si="38"/>
        <v>-127.24153626736165</v>
      </c>
      <c r="AJ182" s="10">
        <f t="shared" si="39"/>
        <v>-9.2303839237135232</v>
      </c>
      <c r="AL182" s="10" t="str">
        <f t="shared" si="42"/>
        <v>0,0172181799560443-0,0000300736262830384i</v>
      </c>
      <c r="AM182" s="10" t="str">
        <f t="shared" si="43"/>
        <v>0,00986817695192163-0,0122432980188588i</v>
      </c>
      <c r="AN182" s="10" t="str">
        <f t="shared" si="47"/>
        <v>-0,0659402363873201+0,0821041475365989i</v>
      </c>
      <c r="AO182" s="10">
        <f t="shared" si="48"/>
        <v>0.10530529814556937</v>
      </c>
      <c r="AP182" s="10">
        <f t="shared" si="49"/>
        <v>2.2474423930460006</v>
      </c>
      <c r="AQ182" s="10">
        <f t="shared" si="50"/>
        <v>128.76896382031777</v>
      </c>
      <c r="AR182" s="10">
        <f t="shared" si="51"/>
        <v>-19.550995558721226</v>
      </c>
      <c r="AS182" s="10">
        <f t="shared" si="52"/>
        <v>-28.781379482434751</v>
      </c>
      <c r="AT182" s="10">
        <f t="shared" si="53"/>
        <v>1.5274275529561123</v>
      </c>
    </row>
    <row r="183" spans="25:46" x14ac:dyDescent="0.35">
      <c r="Y183" s="10">
        <v>181</v>
      </c>
      <c r="Z183" s="10">
        <f t="shared" si="44"/>
        <v>269153.48039269098</v>
      </c>
      <c r="AA183" s="10" t="str">
        <f t="shared" si="45"/>
        <v>1691141,1933796i</v>
      </c>
      <c r="AC183" s="10">
        <f>1/(2*$T$3+$T$6*$T$2/('4. Boost Inductor'!$B$11*$T$3^2)*($T$5))</f>
        <v>0.32865720058048542</v>
      </c>
      <c r="AD183" s="10" t="str">
        <f t="shared" si="40"/>
        <v>0,00499375287136433-0,000405247761593287i</v>
      </c>
      <c r="AE183" s="10" t="str">
        <f t="shared" si="41"/>
        <v>-0,556372782628943-0,7722187698738i</v>
      </c>
      <c r="AF183" s="10" t="str">
        <f t="shared" si="46"/>
        <v>-0,223517193305743-0,262523547288967i</v>
      </c>
      <c r="AG183" s="10">
        <f t="shared" si="36"/>
        <v>0.344787686242504</v>
      </c>
      <c r="AH183" s="10">
        <f t="shared" si="37"/>
        <v>-2.2761128599900293</v>
      </c>
      <c r="AI183" s="10">
        <f t="shared" si="38"/>
        <v>-130.41166057287992</v>
      </c>
      <c r="AJ183" s="10">
        <f t="shared" si="39"/>
        <v>-9.2489650595234423</v>
      </c>
      <c r="AL183" s="10" t="str">
        <f t="shared" si="42"/>
        <v>0,0172181798372961-0,0000280663410725982i</v>
      </c>
      <c r="AM183" s="10" t="str">
        <f t="shared" si="43"/>
        <v>0,00984864443257939-0,0114263359371013i</v>
      </c>
      <c r="AN183" s="10" t="str">
        <f t="shared" si="47"/>
        <v>-0,0658279100209615+0,0766253445139002i</v>
      </c>
      <c r="AO183" s="10">
        <f t="shared" si="48"/>
        <v>0.1010185980876873</v>
      </c>
      <c r="AP183" s="10">
        <f t="shared" si="49"/>
        <v>2.2805428097688401</v>
      </c>
      <c r="AQ183" s="10">
        <f t="shared" si="50"/>
        <v>130.66547799866072</v>
      </c>
      <c r="AR183" s="10">
        <f t="shared" si="51"/>
        <v>-19.911973256367698</v>
      </c>
      <c r="AS183" s="10">
        <f t="shared" si="52"/>
        <v>-29.160938315891141</v>
      </c>
      <c r="AT183" s="10">
        <f t="shared" si="53"/>
        <v>0.25381742578079525</v>
      </c>
    </row>
    <row r="184" spans="25:46" x14ac:dyDescent="0.35">
      <c r="Y184" s="10">
        <v>182</v>
      </c>
      <c r="Z184" s="10">
        <f t="shared" si="44"/>
        <v>288403.15031266044</v>
      </c>
      <c r="AA184" s="10" t="str">
        <f t="shared" si="45"/>
        <v>1812090,43658881i</v>
      </c>
      <c r="AC184" s="10">
        <f>1/(2*$T$3+$T$6*$T$2/('4. Boost Inductor'!$B$11*$T$3^2)*($T$5))</f>
        <v>0.32865720058048542</v>
      </c>
      <c r="AD184" s="10" t="str">
        <f t="shared" si="40"/>
        <v>0,00499373157391221-0,000378199224490393i</v>
      </c>
      <c r="AE184" s="10" t="str">
        <f t="shared" si="41"/>
        <v>-0,600065428191107-0,736880068392497i</v>
      </c>
      <c r="AF184" s="10" t="str">
        <f t="shared" si="46"/>
        <v>-0,236815816604093-0,24965594219849i</v>
      </c>
      <c r="AG184" s="10">
        <f t="shared" si="36"/>
        <v>0.3441072804647981</v>
      </c>
      <c r="AH184" s="10">
        <f t="shared" si="37"/>
        <v>-2.3298062264187465</v>
      </c>
      <c r="AI184" s="10">
        <f t="shared" si="38"/>
        <v>-133.48806385709486</v>
      </c>
      <c r="AJ184" s="10">
        <f t="shared" si="39"/>
        <v>-9.2661227735483482</v>
      </c>
      <c r="AL184" s="10" t="str">
        <f t="shared" si="42"/>
        <v>0,0172181797338709-0,000026193033516394i</v>
      </c>
      <c r="AM184" s="10" t="str">
        <f t="shared" si="43"/>
        <v>0,00983163169150377-0,0106638603785263i</v>
      </c>
      <c r="AN184" s="10" t="str">
        <f t="shared" si="47"/>
        <v>-0,0657300742362242+0,0715119855508555i</v>
      </c>
      <c r="AO184" s="10">
        <f t="shared" si="48"/>
        <v>9.7130874270364265E-2</v>
      </c>
      <c r="AP184" s="10">
        <f t="shared" si="49"/>
        <v>2.3140900927969259</v>
      </c>
      <c r="AQ184" s="10">
        <f t="shared" si="50"/>
        <v>132.58759573030088</v>
      </c>
      <c r="AR184" s="10">
        <f t="shared" si="51"/>
        <v>-20.252854043654125</v>
      </c>
      <c r="AS184" s="10">
        <f t="shared" si="52"/>
        <v>-29.518976817202471</v>
      </c>
      <c r="AT184" s="10">
        <f t="shared" si="53"/>
        <v>-0.90046812679398158</v>
      </c>
    </row>
    <row r="185" spans="25:46" x14ac:dyDescent="0.35">
      <c r="Y185" s="10">
        <v>183</v>
      </c>
      <c r="Z185" s="10">
        <f t="shared" si="44"/>
        <v>309029.54325135821</v>
      </c>
      <c r="AA185" s="10" t="str">
        <f t="shared" si="45"/>
        <v>1941689,88564135i</v>
      </c>
      <c r="AC185" s="10">
        <f>1/(2*$T$3+$T$6*$T$2/('4. Boost Inductor'!$B$11*$T$3^2)*($T$5))</f>
        <v>0.32865720058048542</v>
      </c>
      <c r="AD185" s="10" t="str">
        <f t="shared" si="40"/>
        <v>0,00499371302460607-0,000352956059393694i</v>
      </c>
      <c r="AE185" s="10" t="str">
        <f t="shared" si="41"/>
        <v>-0,640130045661529-0,700492560393984i</v>
      </c>
      <c r="AF185" s="10" t="str">
        <f t="shared" si="46"/>
        <v>-0,249007504281963-0,236589351306485i</v>
      </c>
      <c r="AG185" s="10">
        <f t="shared" ref="AG185:AG202" si="54">IMABS(AF185)</f>
        <v>0.34348108876669642</v>
      </c>
      <c r="AH185" s="10">
        <f t="shared" ref="AH185:AH202" si="55">IMARGUMENT(AF185)</f>
        <v>-2.3817618859309877</v>
      </c>
      <c r="AI185" s="10">
        <f t="shared" ref="AI185:AI202" si="56">AH185/(PI())*180</f>
        <v>-136.464903868965</v>
      </c>
      <c r="AJ185" s="10">
        <f t="shared" ref="AJ185:AJ202" si="57">20*LOG(AG185,10)</f>
        <v>-9.2819433828810869</v>
      </c>
      <c r="AL185" s="10" t="str">
        <f t="shared" si="42"/>
        <v>0,0172181796437912-0,000024444761182335i</v>
      </c>
      <c r="AM185" s="10" t="str">
        <f t="shared" si="43"/>
        <v>0,0098168137371196-0,0099522424952903i</v>
      </c>
      <c r="AN185" s="10" t="str">
        <f t="shared" si="47"/>
        <v>-0,065644860091735+0,0667397242014805i</v>
      </c>
      <c r="AO185" s="10">
        <f t="shared" si="48"/>
        <v>9.3613238609467742E-2</v>
      </c>
      <c r="AP185" s="10">
        <f t="shared" si="49"/>
        <v>2.347924349417899</v>
      </c>
      <c r="AQ185" s="10">
        <f t="shared" si="50"/>
        <v>134.52615583764521</v>
      </c>
      <c r="AR185" s="10">
        <f t="shared" si="51"/>
        <v>-20.573254596075042</v>
      </c>
      <c r="AS185" s="10">
        <f t="shared" si="52"/>
        <v>-29.855197978956127</v>
      </c>
      <c r="AT185" s="10">
        <f t="shared" si="53"/>
        <v>-1.9387480313197898</v>
      </c>
    </row>
    <row r="186" spans="25:46" x14ac:dyDescent="0.35">
      <c r="Y186" s="10">
        <v>184</v>
      </c>
      <c r="Z186" s="10">
        <f t="shared" si="44"/>
        <v>331131.12148259068</v>
      </c>
      <c r="AA186" s="10" t="str">
        <f t="shared" si="45"/>
        <v>2080558,19724931i</v>
      </c>
      <c r="AC186" s="10">
        <f>1/(2*$T$3+$T$6*$T$2/('4. Boost Inductor'!$B$11*$T$3^2)*($T$5))</f>
        <v>0.32865720058048542</v>
      </c>
      <c r="AD186" s="10" t="str">
        <f t="shared" si="40"/>
        <v>0,00499369686883526-0,000329397765769906i</v>
      </c>
      <c r="AE186" s="10" t="str">
        <f t="shared" si="41"/>
        <v>-0,676649306150157-0,663449824067079i</v>
      </c>
      <c r="AF186" s="10" t="str">
        <f t="shared" si="46"/>
        <v>-0,260117217220564-0,223434218782112i</v>
      </c>
      <c r="AG186" s="10">
        <f t="shared" si="54"/>
        <v>0.34290496761835165</v>
      </c>
      <c r="AH186" s="10">
        <f t="shared" si="55"/>
        <v>-2.4319110896131502</v>
      </c>
      <c r="AI186" s="10">
        <f t="shared" si="56"/>
        <v>-139.33824158589482</v>
      </c>
      <c r="AJ186" s="10">
        <f t="shared" si="57"/>
        <v>-9.2965244654694921</v>
      </c>
      <c r="AL186" s="10" t="str">
        <f t="shared" si="42"/>
        <v>0,0172181795653351-0,0000228131785071906i</v>
      </c>
      <c r="AM186" s="10" t="str">
        <f t="shared" si="43"/>
        <v>0,00980390747701474-0,00928809417273864i</v>
      </c>
      <c r="AN186" s="10" t="str">
        <f t="shared" si="47"/>
        <v>-0,0655706395973143+0,0622858305511704i</v>
      </c>
      <c r="AO186" s="10">
        <f t="shared" si="48"/>
        <v>9.043800896000527E-2</v>
      </c>
      <c r="AP186" s="10">
        <f t="shared" si="49"/>
        <v>2.3818802190334383</v>
      </c>
      <c r="AQ186" s="10">
        <f t="shared" si="50"/>
        <v>136.4716838563121</v>
      </c>
      <c r="AR186" s="10">
        <f t="shared" si="51"/>
        <v>-20.872980148824858</v>
      </c>
      <c r="AS186" s="10">
        <f t="shared" si="52"/>
        <v>-30.16950461429435</v>
      </c>
      <c r="AT186" s="10">
        <f t="shared" si="53"/>
        <v>-2.8665577295827234</v>
      </c>
    </row>
    <row r="187" spans="25:46" x14ac:dyDescent="0.35">
      <c r="Y187" s="10">
        <v>185</v>
      </c>
      <c r="Z187" s="10">
        <f t="shared" si="44"/>
        <v>354813.38923357491</v>
      </c>
      <c r="AA187" s="10" t="str">
        <f t="shared" si="45"/>
        <v>2229358,27402299i</v>
      </c>
      <c r="AC187" s="10">
        <f>1/(2*$T$3+$T$6*$T$2/('4. Boost Inductor'!$B$11*$T$3^2)*($T$5))</f>
        <v>0.32865720058048542</v>
      </c>
      <c r="AD187" s="10" t="str">
        <f t="shared" si="40"/>
        <v>0,0049936827977467-0,000307411885925014i</v>
      </c>
      <c r="AE187" s="10" t="str">
        <f t="shared" si="41"/>
        <v>-0,709751707642223-0,626100363798558i</v>
      </c>
      <c r="AF187" s="10" t="str">
        <f t="shared" si="46"/>
        <v>-0,270183835640132-0,210287796834877i</v>
      </c>
      <c r="AG187" s="10">
        <f t="shared" si="54"/>
        <v>0.34237444784749982</v>
      </c>
      <c r="AH187" s="10">
        <f t="shared" si="55"/>
        <v>-2.4802156137188889</v>
      </c>
      <c r="AI187" s="10">
        <f t="shared" si="56"/>
        <v>-142.10588694854161</v>
      </c>
      <c r="AJ187" s="10">
        <f t="shared" si="57"/>
        <v>-9.3099731026152028</v>
      </c>
      <c r="AL187" s="10" t="str">
        <f t="shared" si="42"/>
        <v>0,0172181794970027-0,0000212904969581654i</v>
      </c>
      <c r="AM187" s="10" t="str">
        <f t="shared" si="43"/>
        <v>0,00979266632025147-0,0086682522377437i</v>
      </c>
      <c r="AN187" s="10" t="str">
        <f t="shared" si="47"/>
        <v>-0,0655059946732489+0,0581290849081285i</v>
      </c>
      <c r="AO187" s="10">
        <f t="shared" si="48"/>
        <v>8.7578683767159493E-2</v>
      </c>
      <c r="AP187" s="10">
        <f t="shared" si="49"/>
        <v>2.415790635531093</v>
      </c>
      <c r="AQ187" s="10">
        <f t="shared" si="50"/>
        <v>138.41460760315854</v>
      </c>
      <c r="AR187" s="10">
        <f t="shared" si="51"/>
        <v>-21.152031723401976</v>
      </c>
      <c r="AS187" s="10">
        <f t="shared" si="52"/>
        <v>-30.462004826017179</v>
      </c>
      <c r="AT187" s="10">
        <f t="shared" si="53"/>
        <v>-3.6912793453830659</v>
      </c>
    </row>
    <row r="188" spans="25:46" x14ac:dyDescent="0.35">
      <c r="Y188" s="10">
        <v>186</v>
      </c>
      <c r="Z188" s="10">
        <f t="shared" si="44"/>
        <v>380189.39632056118</v>
      </c>
      <c r="AA188" s="10" t="str">
        <f t="shared" si="45"/>
        <v>2388800,42890683i</v>
      </c>
      <c r="AC188" s="10">
        <f>1/(2*$T$3+$T$6*$T$2/('4. Boost Inductor'!$B$11*$T$3^2)*($T$5))</f>
        <v>0.32865720058048542</v>
      </c>
      <c r="AD188" s="10" t="str">
        <f t="shared" si="40"/>
        <v>0,00499367054234053-0,000286893468189274i</v>
      </c>
      <c r="AE188" s="10" t="str">
        <f t="shared" si="41"/>
        <v>-0,739600022637409-0,588744767689465i</v>
      </c>
      <c r="AF188" s="10" t="str">
        <f t="shared" si="46"/>
        <v>-0,279256635658619-0,197233239051918i</v>
      </c>
      <c r="AG188" s="10">
        <f t="shared" si="54"/>
        <v>0.34188480391248999</v>
      </c>
      <c r="AH188" s="10">
        <f t="shared" si="55"/>
        <v>-2.526664675931467</v>
      </c>
      <c r="AI188" s="10">
        <f t="shared" si="56"/>
        <v>-144.76722217566294</v>
      </c>
      <c r="AJ188" s="10">
        <f t="shared" si="57"/>
        <v>-9.3224040457012656</v>
      </c>
      <c r="AL188" s="10" t="str">
        <f t="shared" si="42"/>
        <v>0,0172181794374877-0,0000198694478535163i</v>
      </c>
      <c r="AM188" s="10" t="str">
        <f t="shared" si="43"/>
        <v>0,00978287547404624-0,00808976366941342i</v>
      </c>
      <c r="AN188" s="10" t="str">
        <f t="shared" si="47"/>
        <v>-0,0654496901027087+0,0542496782935059i</v>
      </c>
      <c r="AO188" s="10">
        <f t="shared" si="48"/>
        <v>8.5009937827818044E-2</v>
      </c>
      <c r="AP188" s="10">
        <f t="shared" si="49"/>
        <v>2.449490699164139</v>
      </c>
      <c r="AQ188" s="10">
        <f t="shared" si="50"/>
        <v>140.34547901865437</v>
      </c>
      <c r="AR188" s="10">
        <f t="shared" si="51"/>
        <v>-21.410606028890022</v>
      </c>
      <c r="AS188" s="10">
        <f t="shared" si="52"/>
        <v>-30.733010074591288</v>
      </c>
      <c r="AT188" s="10">
        <f t="shared" si="53"/>
        <v>-4.4217431570085637</v>
      </c>
    </row>
    <row r="189" spans="25:46" x14ac:dyDescent="0.35">
      <c r="Y189" s="10">
        <v>187</v>
      </c>
      <c r="Z189" s="10">
        <f t="shared" si="44"/>
        <v>407380.27780411189</v>
      </c>
      <c r="AA189" s="10" t="str">
        <f t="shared" si="45"/>
        <v>2559645,77593353i</v>
      </c>
      <c r="AC189" s="10">
        <f>1/(2*$T$3+$T$6*$T$2/('4. Boost Inductor'!$B$11*$T$3^2)*($T$5))</f>
        <v>0.32865720058048542</v>
      </c>
      <c r="AD189" s="10" t="str">
        <f t="shared" si="40"/>
        <v>0,00499365986832776-0,000267744565930457i</v>
      </c>
      <c r="AE189" s="10" t="str">
        <f t="shared" si="41"/>
        <v>-0,766380628843545-0,55163528483531i</v>
      </c>
      <c r="AF189" s="10" t="str">
        <f t="shared" si="46"/>
        <v>-0,287392034065541-0,184339433506166i</v>
      </c>
      <c r="AG189" s="10">
        <f t="shared" si="54"/>
        <v>0.34143111748887689</v>
      </c>
      <c r="AH189" s="10">
        <f t="shared" si="55"/>
        <v>-2.571271661467637</v>
      </c>
      <c r="AI189" s="10">
        <f t="shared" si="56"/>
        <v>-147.32301418368658</v>
      </c>
      <c r="AJ189" s="10">
        <f t="shared" si="57"/>
        <v>-9.3339380101865714</v>
      </c>
      <c r="AL189" s="10" t="str">
        <f t="shared" si="42"/>
        <v>0,0172181793856522-0,0000185432476647338i</v>
      </c>
      <c r="AM189" s="10" t="str">
        <f t="shared" si="43"/>
        <v>0,00977434784573142-0,00754987175492011i</v>
      </c>
      <c r="AN189" s="10" t="str">
        <f t="shared" si="47"/>
        <v>-0,065400649964985+0,0506291193319545i</v>
      </c>
      <c r="AO189" s="10">
        <f t="shared" si="48"/>
        <v>8.2707634110593328E-2</v>
      </c>
      <c r="AP189" s="10">
        <f t="shared" si="49"/>
        <v>2.482821436040398</v>
      </c>
      <c r="AQ189" s="10">
        <f t="shared" si="50"/>
        <v>142.25518956972508</v>
      </c>
      <c r="AR189" s="10">
        <f t="shared" si="51"/>
        <v>-21.64908804375241</v>
      </c>
      <c r="AS189" s="10">
        <f t="shared" si="52"/>
        <v>-30.983026053938982</v>
      </c>
      <c r="AT189" s="10">
        <f t="shared" si="53"/>
        <v>-5.0678246139615055</v>
      </c>
    </row>
    <row r="190" spans="25:46" x14ac:dyDescent="0.35">
      <c r="Y190" s="10">
        <v>188</v>
      </c>
      <c r="Z190" s="10">
        <f t="shared" si="44"/>
        <v>436515.83224016492</v>
      </c>
      <c r="AA190" s="10" t="str">
        <f t="shared" si="45"/>
        <v>2742709,86348267i</v>
      </c>
      <c r="AC190" s="10">
        <f>1/(2*$T$3+$T$6*$T$2/('4. Boost Inductor'!$B$11*$T$3^2)*($T$5))</f>
        <v>0.32865720058048542</v>
      </c>
      <c r="AD190" s="10" t="str">
        <f t="shared" si="40"/>
        <v>0,0049936505716511-0,000249873770004277i</v>
      </c>
      <c r="AE190" s="10" t="str">
        <f t="shared" si="41"/>
        <v>-0,790294077552003-0,514977288634264i</v>
      </c>
      <c r="AF190" s="10" t="str">
        <f t="shared" si="46"/>
        <v>-0,294650709248828-0,171661412962299i</v>
      </c>
      <c r="AG190" s="10">
        <f t="shared" si="54"/>
        <v>0.34100833004642328</v>
      </c>
      <c r="AH190" s="10">
        <f t="shared" si="55"/>
        <v>-2.6140708263704453</v>
      </c>
      <c r="AI190" s="10">
        <f t="shared" si="56"/>
        <v>-149.77522569930193</v>
      </c>
      <c r="AJ190" s="10">
        <f t="shared" si="57"/>
        <v>-9.3447002413225171</v>
      </c>
      <c r="AL190" s="10" t="str">
        <f t="shared" si="42"/>
        <v>0,0172181793405054-0,0000173055656346516i</v>
      </c>
      <c r="AM190" s="10" t="str">
        <f t="shared" si="43"/>
        <v>0,00976692047228806-0,00704600313521809i</v>
      </c>
      <c r="AN190" s="10" t="str">
        <f t="shared" si="47"/>
        <v>-0,0653579371026603+0,047250147160531i</v>
      </c>
      <c r="AO190" s="10">
        <f t="shared" si="48"/>
        <v>8.0648845924831028E-2</v>
      </c>
      <c r="AP190" s="10">
        <f t="shared" si="49"/>
        <v>2.5156332351928241</v>
      </c>
      <c r="AQ190" s="10">
        <f t="shared" si="50"/>
        <v>144.13516717939004</v>
      </c>
      <c r="AR190" s="10">
        <f t="shared" si="51"/>
        <v>-21.868036858634596</v>
      </c>
      <c r="AS190" s="10">
        <f t="shared" si="52"/>
        <v>-31.212737099957113</v>
      </c>
      <c r="AT190" s="10">
        <f t="shared" si="53"/>
        <v>-5.6400585199118893</v>
      </c>
    </row>
    <row r="191" spans="25:46" x14ac:dyDescent="0.35">
      <c r="Y191" s="10">
        <v>189</v>
      </c>
      <c r="Z191" s="10">
        <f t="shared" si="44"/>
        <v>467735.14128719777</v>
      </c>
      <c r="AA191" s="10" t="str">
        <f t="shared" si="45"/>
        <v>2938866,56738729i</v>
      </c>
      <c r="AC191" s="10">
        <f>1/(2*$T$3+$T$6*$T$2/('4. Boost Inductor'!$B$11*$T$3^2)*($T$5))</f>
        <v>0.32865720058048542</v>
      </c>
      <c r="AD191" s="10" t="str">
        <f t="shared" si="40"/>
        <v>0,00499364247458407-0,000233195772410527i</v>
      </c>
      <c r="AE191" s="10" t="str">
        <f t="shared" si="41"/>
        <v>-0,811547075441993-0,478932104883158i</v>
      </c>
      <c r="AF191" s="10" t="str">
        <f t="shared" si="46"/>
        <v>-0,301095151719278-0,159241183343163i</v>
      </c>
      <c r="AG191" s="10">
        <f t="shared" si="54"/>
        <v>0.34061128117163986</v>
      </c>
      <c r="AH191" s="10">
        <f t="shared" si="55"/>
        <v>-2.6551141082202498</v>
      </c>
      <c r="AI191" s="10">
        <f t="shared" si="56"/>
        <v>-152.12683252666164</v>
      </c>
      <c r="AJ191" s="10">
        <f t="shared" si="57"/>
        <v>-9.3548194428261038</v>
      </c>
      <c r="AL191" s="10" t="str">
        <f t="shared" si="42"/>
        <v>0,0172181793011843-0,0000161504935569093i</v>
      </c>
      <c r="AM191" s="10" t="str">
        <f t="shared" si="43"/>
        <v>0,0097604514096668-0,00657575568763875i</v>
      </c>
      <c r="AN191" s="10" t="str">
        <f t="shared" si="47"/>
        <v>-0,0653207352328987+0,0440966499909486i</v>
      </c>
      <c r="AO191" s="10">
        <f t="shared" si="48"/>
        <v>7.8811883569615826E-2</v>
      </c>
      <c r="AP191" s="10">
        <f t="shared" si="49"/>
        <v>2.5477887863642521</v>
      </c>
      <c r="AQ191" s="10">
        <f t="shared" si="50"/>
        <v>145.97754454942981</v>
      </c>
      <c r="AR191" s="10">
        <f t="shared" si="51"/>
        <v>-22.068165858433716</v>
      </c>
      <c r="AS191" s="10">
        <f t="shared" si="52"/>
        <v>-31.422985301259821</v>
      </c>
      <c r="AT191" s="10">
        <f t="shared" si="53"/>
        <v>-6.1492879772318361</v>
      </c>
    </row>
    <row r="192" spans="25:46" x14ac:dyDescent="0.35">
      <c r="Y192" s="10">
        <v>190</v>
      </c>
      <c r="Z192" s="10">
        <f t="shared" si="44"/>
        <v>501187.23362727172</v>
      </c>
      <c r="AA192" s="10" t="str">
        <f t="shared" si="45"/>
        <v>3149052,26247286i</v>
      </c>
      <c r="AC192" s="10">
        <f>1/(2*$T$3+$T$6*$T$2/('4. Boost Inductor'!$B$11*$T$3^2)*($T$5))</f>
        <v>0.32865720058048542</v>
      </c>
      <c r="AD192" s="10" t="str">
        <f t="shared" si="40"/>
        <v>0,00499363542233337-0,000217630959072291i</v>
      </c>
      <c r="AE192" s="10" t="str">
        <f t="shared" si="41"/>
        <v>-0,830345914223976-0,443620736236838i</v>
      </c>
      <c r="AF192" s="10" t="str">
        <f t="shared" si="46"/>
        <v>-0,306787654619864-0,147108827739207i</v>
      </c>
      <c r="AG192" s="10">
        <f t="shared" si="54"/>
        <v>0.34023473106953772</v>
      </c>
      <c r="AH192" s="10">
        <f t="shared" si="55"/>
        <v>-2.6944681381922497</v>
      </c>
      <c r="AI192" s="10">
        <f t="shared" si="56"/>
        <v>-154.38165235088857</v>
      </c>
      <c r="AJ192" s="10">
        <f t="shared" si="57"/>
        <v>-9.3644271159408223</v>
      </c>
      <c r="AL192" s="10" t="str">
        <f t="shared" si="42"/>
        <v>0,0172181792669369-0,0000150725175725049i</v>
      </c>
      <c r="AM192" s="10" t="str">
        <f t="shared" si="43"/>
        <v>0,00975481702279529-0,00613688719469661i</v>
      </c>
      <c r="AN192" s="10" t="str">
        <f t="shared" si="47"/>
        <v>-0,0652883333629833+0,0411535889776883i</v>
      </c>
      <c r="AO192" s="10">
        <f t="shared" si="48"/>
        <v>7.7176319937274446E-2</v>
      </c>
      <c r="AP192" s="10">
        <f t="shared" si="49"/>
        <v>2.5791653907413865</v>
      </c>
      <c r="AQ192" s="10">
        <f t="shared" si="50"/>
        <v>147.7752915556913</v>
      </c>
      <c r="AR192" s="10">
        <f t="shared" si="51"/>
        <v>-22.250318681926036</v>
      </c>
      <c r="AS192" s="10">
        <f t="shared" si="52"/>
        <v>-31.61474579786686</v>
      </c>
      <c r="AT192" s="10">
        <f t="shared" si="53"/>
        <v>-6.6063607951972756</v>
      </c>
    </row>
    <row r="193" spans="25:46" x14ac:dyDescent="0.35">
      <c r="Y193" s="10">
        <v>191</v>
      </c>
      <c r="Z193" s="10">
        <f t="shared" si="44"/>
        <v>537031.79637025192</v>
      </c>
      <c r="AA193" s="10" t="str">
        <f t="shared" si="45"/>
        <v>3374270,29244183i</v>
      </c>
      <c r="AC193" s="10">
        <f>1/(2*$T$3+$T$6*$T$2/('4. Boost Inductor'!$B$11*$T$3^2)*($T$5))</f>
        <v>0.32865720058048542</v>
      </c>
      <c r="AD193" s="10" t="str">
        <f t="shared" si="40"/>
        <v>0,00499362928007974-0,000203105029794574i</v>
      </c>
      <c r="AE193" s="10" t="str">
        <f t="shared" si="41"/>
        <v>-0,846891280797409-0,409128089491127i</v>
      </c>
      <c r="AF193" s="10" t="str">
        <f t="shared" si="46"/>
        <v>-0,311788723613676-0,135283766089178i</v>
      </c>
      <c r="AG193" s="10">
        <f t="shared" si="54"/>
        <v>0.33987336691761627</v>
      </c>
      <c r="AH193" s="10">
        <f t="shared" si="55"/>
        <v>-2.7322115156638236</v>
      </c>
      <c r="AI193" s="10">
        <f t="shared" si="56"/>
        <v>-156.5441885845789</v>
      </c>
      <c r="AJ193" s="10">
        <f t="shared" si="57"/>
        <v>-9.3736573234546157</v>
      </c>
      <c r="AL193" s="10" t="str">
        <f t="shared" si="42"/>
        <v>0,0172181792371088-0,0000140664918488054i</v>
      </c>
      <c r="AM193" s="10" t="str">
        <f t="shared" si="43"/>
        <v>0,00974990962473637-0,00572730475085146i</v>
      </c>
      <c r="AN193" s="10" t="str">
        <f t="shared" si="47"/>
        <v>-0,0652601122137343+0,0384069270620914i</v>
      </c>
      <c r="AO193" s="10">
        <f t="shared" si="48"/>
        <v>7.5723010323824308E-2</v>
      </c>
      <c r="AP193" s="10">
        <f t="shared" si="49"/>
        <v>2.6096565744235343</v>
      </c>
      <c r="AQ193" s="10">
        <f t="shared" si="50"/>
        <v>149.52230769303651</v>
      </c>
      <c r="AR193" s="10">
        <f t="shared" si="51"/>
        <v>-22.415442584857239</v>
      </c>
      <c r="AS193" s="10">
        <f t="shared" si="52"/>
        <v>-31.789099908311854</v>
      </c>
      <c r="AT193" s="10">
        <f t="shared" si="53"/>
        <v>-7.0218808915423949</v>
      </c>
    </row>
    <row r="194" spans="25:46" x14ac:dyDescent="0.35">
      <c r="Y194" s="10">
        <v>192</v>
      </c>
      <c r="Z194" s="10">
        <f t="shared" si="44"/>
        <v>575439.93733715592</v>
      </c>
      <c r="AA194" s="10" t="str">
        <f t="shared" si="45"/>
        <v>3615595,75944116i</v>
      </c>
      <c r="AC194" s="10">
        <f>1/(2*$T$3+$T$6*$T$2/('4. Boost Inductor'!$B$11*$T$3^2)*($T$5))</f>
        <v>0.32865720058048542</v>
      </c>
      <c r="AD194" s="10" t="str">
        <f t="shared" ref="AD194:AD202" si="58">IMDIV(IMSUM(1,IMDIV(AA194,$W$3)),IMSUM(1,IMDIV(AA194,$W$5)))</f>
        <v>0,00499362393040038-0,000189548643588401i</v>
      </c>
      <c r="AE194" s="10" t="str">
        <f t="shared" ref="AE194:AE202" si="59">IMDIV(IMSUM(1,IMDIV(IMPRODUCT(-1,AA194),$W$4)),IMSUM(1,IMDIV(AA194,$W$1*$W$2),IMDIV(IMPOWER(AA194,2),$W$1^2)))</f>
        <v>-0,861374315160743-0,375507394700198i</v>
      </c>
      <c r="AF194" s="10" t="str">
        <f t="shared" si="46"/>
        <v>-0,316155865608702-0,123776075845458i</v>
      </c>
      <c r="AG194" s="10">
        <f t="shared" si="54"/>
        <v>0.3395217935722068</v>
      </c>
      <c r="AH194" s="10">
        <f t="shared" si="55"/>
        <v>-2.7684323789372338</v>
      </c>
      <c r="AI194" s="10">
        <f t="shared" si="56"/>
        <v>-158.61949118046573</v>
      </c>
      <c r="AJ194" s="10">
        <f t="shared" si="57"/>
        <v>-9.3826468710053881</v>
      </c>
      <c r="AL194" s="10" t="str">
        <f t="shared" ref="AL194:AL202" si="60">IMDIV(IMSUM(1,IMDIV(AA194,wz1e)),IMSUM(1,IMDIV(AA194,wp1e)))</f>
        <v>0,0172181792111294-0,0000131276140153705i</v>
      </c>
      <c r="AM194" s="10" t="str">
        <f t="shared" ref="AM194:AM202" si="61">IMDIV(IMSUM(1,IMDIV(AA194,wz2e)),IMSUM(1,IMDIV(AA194,wp2e)))</f>
        <v>0,00974563542007539-0,00534505486140418i</v>
      </c>
      <c r="AN194" s="10" t="str">
        <f t="shared" si="47"/>
        <v>-0,0652355323924618+0,0358435624800366i</v>
      </c>
      <c r="AO194" s="10">
        <f t="shared" si="48"/>
        <v>7.443410278755444E-2</v>
      </c>
      <c r="AP194" s="10">
        <f t="shared" si="49"/>
        <v>2.6391729923845011</v>
      </c>
      <c r="AQ194" s="10">
        <f t="shared" si="50"/>
        <v>151.21347386854407</v>
      </c>
      <c r="AR194" s="10">
        <f t="shared" si="51"/>
        <v>-22.564560843086724</v>
      </c>
      <c r="AS194" s="10">
        <f t="shared" si="52"/>
        <v>-31.947207714092112</v>
      </c>
      <c r="AT194" s="10">
        <f t="shared" si="53"/>
        <v>-7.4060173119216586</v>
      </c>
    </row>
    <row r="195" spans="25:46" x14ac:dyDescent="0.35">
      <c r="Y195" s="10">
        <v>193</v>
      </c>
      <c r="Z195" s="10">
        <f t="shared" ref="Z195:Z202" si="62">10^(LOG($F$3/$F$2,10)*Y195/200)</f>
        <v>616595.00186148204</v>
      </c>
      <c r="AA195" s="10" t="str">
        <f t="shared" ref="AA195:AA202" si="63">IMPRODUCT(COMPLEX(0,1),2*PI()*Z195)</f>
        <v>3874180,65617643i</v>
      </c>
      <c r="AC195" s="10">
        <f>1/(2*$T$3+$T$6*$T$2/('4. Boost Inductor'!$B$11*$T$3^2)*($T$5))</f>
        <v>0.32865720058048542</v>
      </c>
      <c r="AD195" s="10" t="str">
        <f t="shared" si="58"/>
        <v>0,0049936192710244-0,000176897087667478i</v>
      </c>
      <c r="AE195" s="10" t="str">
        <f t="shared" si="59"/>
        <v>-0,873973747988079-0,342784585281666i</v>
      </c>
      <c r="AF195" s="10" t="str">
        <f t="shared" ref="AF195:AF202" si="64">IMPRODUCT(AB$2,AC195,AD195,AE195)</f>
        <v>-0,319942705017848-0,112587803394578i</v>
      </c>
      <c r="AG195" s="10">
        <f t="shared" si="54"/>
        <v>0.33917450960730205</v>
      </c>
      <c r="AH195" s="10">
        <f t="shared" si="55"/>
        <v>-2.8032262836150439</v>
      </c>
      <c r="AI195" s="10">
        <f t="shared" si="56"/>
        <v>-160.61303507128471</v>
      </c>
      <c r="AJ195" s="10">
        <f t="shared" si="57"/>
        <v>-9.3915358849616073</v>
      </c>
      <c r="AL195" s="10" t="str">
        <f t="shared" si="60"/>
        <v>0,0172181791885025-0,0000122514022393294i</v>
      </c>
      <c r="AM195" s="10" t="str">
        <f t="shared" si="61"/>
        <v>0,00974191271337657-0,00498831419011931i</v>
      </c>
      <c r="AN195" s="10" t="str">
        <f t="shared" ref="AN195:AN202" si="65">IMPRODUCT($AK$2,AL195,AM195)</f>
        <v>-0,0652141240902729+0,033451266637975i</v>
      </c>
      <c r="AO195" s="10">
        <f t="shared" ref="AO195:AO202" si="66">IMABS(AN195)</f>
        <v>7.3293036644325293E-2</v>
      </c>
      <c r="AP195" s="10">
        <f t="shared" ref="AP195:AP202" si="67">IMARGUMENT(AN195)</f>
        <v>2.6676426620628875</v>
      </c>
      <c r="AQ195" s="10">
        <f t="shared" ref="AQ195:AQ202" si="68">AP195/(PI())*180</f>
        <v>152.84466578524717</v>
      </c>
      <c r="AR195" s="10">
        <f t="shared" ref="AR195:AR202" si="69">20*LOG(AO195,10)</f>
        <v>-22.698745688786758</v>
      </c>
      <c r="AS195" s="10">
        <f t="shared" ref="AS195:AS202" si="70">AR195+AJ195</f>
        <v>-32.090281573748364</v>
      </c>
      <c r="AT195" s="10">
        <f t="shared" ref="AT195:AT202" si="71">AQ195+AI195</f>
        <v>-7.7683692860375402</v>
      </c>
    </row>
    <row r="196" spans="25:46" x14ac:dyDescent="0.35">
      <c r="Y196" s="10">
        <v>194</v>
      </c>
      <c r="Z196" s="10">
        <f t="shared" si="62"/>
        <v>660693.44800759444</v>
      </c>
      <c r="AA196" s="10" t="str">
        <f t="shared" si="63"/>
        <v>4151259,36507114i</v>
      </c>
      <c r="AC196" s="10">
        <f>1/(2*$T$3+$T$6*$T$2/('4. Boost Inductor'!$B$11*$T$3^2)*($T$5))</f>
        <v>0.32865720058048542</v>
      </c>
      <c r="AD196" s="10" t="str">
        <f t="shared" si="58"/>
        <v>0,00499361521287754-0,000165089968537457i</v>
      </c>
      <c r="AE196" s="10" t="str">
        <f t="shared" si="59"/>
        <v>-0,88485393743389-0,310962479881619i</v>
      </c>
      <c r="AF196" s="10" t="str">
        <f t="shared" si="64"/>
        <v>-0,323198372493722-0,101714217870418i</v>
      </c>
      <c r="AG196" s="10">
        <f t="shared" si="54"/>
        <v>0.338825869879473</v>
      </c>
      <c r="AH196" s="10">
        <f t="shared" si="55"/>
        <v>-2.8366943835733069</v>
      </c>
      <c r="AI196" s="10">
        <f t="shared" si="56"/>
        <v>-162.53061594721518</v>
      </c>
      <c r="AJ196" s="10">
        <f t="shared" si="57"/>
        <v>-9.4004687603932418</v>
      </c>
      <c r="AL196" s="10" t="str">
        <f t="shared" si="60"/>
        <v>0,0172181791687952-0,0000114336738308774i</v>
      </c>
      <c r="AM196" s="10" t="str">
        <f t="shared" si="61"/>
        <v>0,0097386703485805-0,00465538091454418i</v>
      </c>
      <c r="AN196" s="10" t="str">
        <f t="shared" si="65"/>
        <v>-0,0651954781074501+0,0312186260787882i</v>
      </c>
      <c r="AO196" s="10">
        <f t="shared" si="66"/>
        <v>7.2284527942749963E-2</v>
      </c>
      <c r="AP196" s="10">
        <f t="shared" si="67"/>
        <v>2.6950106055727518</v>
      </c>
      <c r="AQ196" s="10">
        <f t="shared" si="68"/>
        <v>154.41273344231485</v>
      </c>
      <c r="AR196" s="10">
        <f t="shared" si="69"/>
        <v>-22.819093016256616</v>
      </c>
      <c r="AS196" s="10">
        <f t="shared" si="70"/>
        <v>-32.219561776649854</v>
      </c>
      <c r="AT196" s="10">
        <f t="shared" si="71"/>
        <v>-8.1178825049003365</v>
      </c>
    </row>
    <row r="197" spans="25:46" x14ac:dyDescent="0.35">
      <c r="Y197" s="10">
        <v>195</v>
      </c>
      <c r="Z197" s="10">
        <f t="shared" si="62"/>
        <v>707945.78438413737</v>
      </c>
      <c r="AA197" s="10" t="str">
        <f t="shared" si="63"/>
        <v>4448154,55072214i</v>
      </c>
      <c r="AC197" s="10">
        <f>1/(2*$T$3+$T$6*$T$2/('4. Boost Inductor'!$B$11*$T$3^2)*($T$5))</f>
        <v>0.32865720058048542</v>
      </c>
      <c r="AD197" s="10" t="str">
        <f t="shared" si="58"/>
        <v>0,00499361167837934-0,000154070923703318i</v>
      </c>
      <c r="AE197" s="10" t="str">
        <f t="shared" si="59"/>
        <v>-0,894163628507293-0,280024666909443i</v>
      </c>
      <c r="AF197" s="10" t="str">
        <f t="shared" si="64"/>
        <v>-0,325967112239551-0,0911449773746676i</v>
      </c>
      <c r="AG197" s="10">
        <f t="shared" si="54"/>
        <v>0.33847003584131446</v>
      </c>
      <c r="AH197" s="10">
        <f t="shared" si="55"/>
        <v>-2.8689418977226291</v>
      </c>
      <c r="AI197" s="10">
        <f t="shared" si="56"/>
        <v>-164.37826240775973</v>
      </c>
      <c r="AJ197" s="10">
        <f t="shared" si="57"/>
        <v>-9.4095954521188894</v>
      </c>
      <c r="AL197" s="10" t="str">
        <f t="shared" si="60"/>
        <v>0,0172181791516309-0,0000106705252767626i</v>
      </c>
      <c r="AM197" s="10" t="str">
        <f t="shared" si="61"/>
        <v>0,00973584634959787-0,00434466665030753i</v>
      </c>
      <c r="AN197" s="10" t="str">
        <f t="shared" si="65"/>
        <v>-0,0651792380358664+0,0291349882751041i</v>
      </c>
      <c r="AO197" s="10">
        <f t="shared" si="66"/>
        <v>7.139454189730883E-2</v>
      </c>
      <c r="AP197" s="10">
        <f t="shared" si="67"/>
        <v>2.7212380054836247</v>
      </c>
      <c r="AQ197" s="10">
        <f t="shared" si="68"/>
        <v>155.91545276480969</v>
      </c>
      <c r="AR197" s="10">
        <f t="shared" si="69"/>
        <v>-22.926699774136846</v>
      </c>
      <c r="AS197" s="10">
        <f t="shared" si="70"/>
        <v>-32.336295226255736</v>
      </c>
      <c r="AT197" s="10">
        <f t="shared" si="71"/>
        <v>-8.4628096429500488</v>
      </c>
    </row>
    <row r="198" spans="25:46" x14ac:dyDescent="0.35">
      <c r="Y198" s="10">
        <v>196</v>
      </c>
      <c r="Z198" s="10">
        <f t="shared" si="62"/>
        <v>758577.57502918295</v>
      </c>
      <c r="AA198" s="10" t="str">
        <f t="shared" si="63"/>
        <v>4766283,47377928i</v>
      </c>
      <c r="AC198" s="10">
        <f>1/(2*$T$3+$T$6*$T$2/('4. Boost Inductor'!$B$11*$T$3^2)*($T$5))</f>
        <v>0.32865720058048542</v>
      </c>
      <c r="AD198" s="10" t="str">
        <f t="shared" si="58"/>
        <v>0,0049936085999601-0,000143787352618746i</v>
      </c>
      <c r="AE198" s="10" t="str">
        <f t="shared" si="59"/>
        <v>-0,902035272434854-0,249939040605582i</v>
      </c>
      <c r="AF198" s="10" t="str">
        <f t="shared" si="64"/>
        <v>-0,328288058304594-0,0808651922925389i</v>
      </c>
      <c r="AG198" s="10">
        <f t="shared" si="54"/>
        <v>0.33810091474278775</v>
      </c>
      <c r="AH198" s="10">
        <f t="shared" si="55"/>
        <v>-2.9000768380220081</v>
      </c>
      <c r="AI198" s="10">
        <f t="shared" si="56"/>
        <v>-166.16216308230594</v>
      </c>
      <c r="AJ198" s="10">
        <f t="shared" si="57"/>
        <v>-9.4190730847019122</v>
      </c>
      <c r="AL198" s="10" t="str">
        <f t="shared" si="60"/>
        <v>0,0172181791366814-9,95831360645323E-06i</v>
      </c>
      <c r="AM198" s="10" t="str">
        <f t="shared" si="61"/>
        <v>0,00973338673618257-0,00405468890792086i</v>
      </c>
      <c r="AN198" s="10" t="str">
        <f t="shared" si="65"/>
        <v>-0,0651650934493808+0,0271904110032177i</v>
      </c>
      <c r="AO198" s="10">
        <f t="shared" si="66"/>
        <v>7.0610253184579613E-2</v>
      </c>
      <c r="AP198" s="10">
        <f t="shared" si="67"/>
        <v>2.7463009911869842</v>
      </c>
      <c r="AQ198" s="10">
        <f t="shared" si="68"/>
        <v>157.35145606760889</v>
      </c>
      <c r="AR198" s="10">
        <f t="shared" si="69"/>
        <v>-23.022644625374568</v>
      </c>
      <c r="AS198" s="10">
        <f t="shared" si="70"/>
        <v>-32.441717710076482</v>
      </c>
      <c r="AT198" s="10">
        <f t="shared" si="71"/>
        <v>-8.8107070146970443</v>
      </c>
    </row>
    <row r="199" spans="25:46" x14ac:dyDescent="0.35">
      <c r="Y199" s="10">
        <v>197</v>
      </c>
      <c r="Z199" s="10">
        <f t="shared" si="62"/>
        <v>812830.51616409956</v>
      </c>
      <c r="AA199" s="10" t="str">
        <f t="shared" si="63"/>
        <v>5107164,75638947i</v>
      </c>
      <c r="AC199" s="10">
        <f>1/(2*$T$3+$T$6*$T$2/('4. Boost Inductor'!$B$11*$T$3^2)*($T$5))</f>
        <v>0.32865720058048542</v>
      </c>
      <c r="AD199" s="10" t="str">
        <f t="shared" si="58"/>
        <v>0,004993605918769-0,000134190165593253i</v>
      </c>
      <c r="AE199" s="10" t="str">
        <f t="shared" si="59"/>
        <v>-0,908584763242783-0,220660973998201i</v>
      </c>
      <c r="AF199" s="10" t="str">
        <f t="shared" si="64"/>
        <v>-0,33019513633811-0,0708563815824985i</v>
      </c>
      <c r="AG199" s="10">
        <f t="shared" si="54"/>
        <v>0.3377120887269327</v>
      </c>
      <c r="AH199" s="10">
        <f t="shared" si="55"/>
        <v>-2.930208969655546</v>
      </c>
      <c r="AI199" s="10">
        <f t="shared" si="56"/>
        <v>-167.88860705264031</v>
      </c>
      <c r="AJ199" s="10">
        <f t="shared" si="57"/>
        <v>-9.4290678620069954</v>
      </c>
      <c r="AL199" s="10" t="str">
        <f t="shared" si="60"/>
        <v>0,017218179123661-9,29363900203082E-06i</v>
      </c>
      <c r="AM199" s="10" t="str">
        <f t="shared" si="61"/>
        <v>0,00973124449249729-0,00378406404775873i</v>
      </c>
      <c r="AN199" s="10" t="str">
        <f t="shared" si="65"/>
        <v>-0,0651527739723311+0,0253756150656366i</v>
      </c>
      <c r="AO199" s="10">
        <f t="shared" si="66"/>
        <v>6.9919995682558703E-2</v>
      </c>
      <c r="AP199" s="10">
        <f t="shared" si="67"/>
        <v>2.7701891728715333</v>
      </c>
      <c r="AQ199" s="10">
        <f t="shared" si="68"/>
        <v>158.72014805837526</v>
      </c>
      <c r="AR199" s="10">
        <f t="shared" si="69"/>
        <v>-23.10797214381202</v>
      </c>
      <c r="AS199" s="10">
        <f t="shared" si="70"/>
        <v>-32.537040005819016</v>
      </c>
      <c r="AT199" s="10">
        <f t="shared" si="71"/>
        <v>-9.1684589942650518</v>
      </c>
    </row>
    <row r="200" spans="25:46" x14ac:dyDescent="0.35">
      <c r="Y200" s="10">
        <v>198</v>
      </c>
      <c r="Z200" s="10">
        <f t="shared" si="62"/>
        <v>870963.58995607914</v>
      </c>
      <c r="AA200" s="10" t="str">
        <f t="shared" si="63"/>
        <v>5472425,63150042i</v>
      </c>
      <c r="AC200" s="10">
        <f>1/(2*$T$3+$T$6*$T$2/('4. Boost Inductor'!$B$11*$T$3^2)*($T$5))</f>
        <v>0.32865720058048542</v>
      </c>
      <c r="AD200" s="10" t="str">
        <f t="shared" si="58"/>
        <v>0,00499360358354917-0,00012523354945848i</v>
      </c>
      <c r="AE200" s="10" t="str">
        <f t="shared" si="59"/>
        <v>-0,913911471036684-0,192136140630001i</v>
      </c>
      <c r="AF200" s="10" t="str">
        <f t="shared" si="64"/>
        <v>-0,331717054099243-0,0610973260816701i</v>
      </c>
      <c r="AG200" s="10">
        <f t="shared" si="54"/>
        <v>0.33729673469307414</v>
      </c>
      <c r="AH200" s="10">
        <f t="shared" si="55"/>
        <v>-2.9594489720843815</v>
      </c>
      <c r="AI200" s="10">
        <f t="shared" si="56"/>
        <v>-169.56393578476485</v>
      </c>
      <c r="AJ200" s="10">
        <f t="shared" si="57"/>
        <v>-9.4397572622903141</v>
      </c>
      <c r="AL200" s="10" t="str">
        <f t="shared" si="60"/>
        <v>0,0172181791123205-8,67332856879998E-06i</v>
      </c>
      <c r="AM200" s="10" t="str">
        <f t="shared" si="61"/>
        <v>0,00972937866869476-0,00353150070095845i</v>
      </c>
      <c r="AN200" s="10" t="str">
        <f t="shared" si="65"/>
        <v>-0,065142044112962+0,0236819401444441i</v>
      </c>
      <c r="AO200" s="10">
        <f t="shared" si="66"/>
        <v>6.9313203649954885E-2</v>
      </c>
      <c r="AP200" s="10">
        <f t="shared" si="67"/>
        <v>2.7929040309579016</v>
      </c>
      <c r="AQ200" s="10">
        <f t="shared" si="68"/>
        <v>160.0216135589628</v>
      </c>
      <c r="AR200" s="10">
        <f t="shared" si="69"/>
        <v>-23.183680552752726</v>
      </c>
      <c r="AS200" s="10">
        <f t="shared" si="70"/>
        <v>-32.62343781504304</v>
      </c>
      <c r="AT200" s="10">
        <f t="shared" si="71"/>
        <v>-9.542322225802053</v>
      </c>
    </row>
    <row r="201" spans="25:46" x14ac:dyDescent="0.35">
      <c r="Y201" s="10">
        <v>199</v>
      </c>
      <c r="Z201" s="10">
        <f t="shared" si="62"/>
        <v>933254.30079698924</v>
      </c>
      <c r="AA201" s="10" t="str">
        <f t="shared" si="63"/>
        <v>5863809,7106298i</v>
      </c>
      <c r="AC201" s="10">
        <f>1/(2*$T$3+$T$6*$T$2/('4. Boost Inductor'!$B$11*$T$3^2)*($T$5))</f>
        <v>0.32865720058048542</v>
      </c>
      <c r="AD201" s="10" t="str">
        <f t="shared" si="58"/>
        <v>0,00499360154965771-0,000116874748875103i</v>
      </c>
      <c r="AE201" s="10" t="str">
        <f t="shared" si="59"/>
        <v>-0,9180984739532-0,16430301528126i</v>
      </c>
      <c r="AF201" s="10" t="str">
        <f t="shared" si="64"/>
        <v>-0,332877350939775-0,0515648285470414i</v>
      </c>
      <c r="AG201" s="10">
        <f t="shared" si="54"/>
        <v>0.33684753570683557</v>
      </c>
      <c r="AH201" s="10">
        <f t="shared" si="55"/>
        <v>-2.9879077691353086</v>
      </c>
      <c r="AI201" s="10">
        <f t="shared" si="56"/>
        <v>-171.19450474580231</v>
      </c>
      <c r="AJ201" s="10">
        <f t="shared" si="57"/>
        <v>-9.4513325098115022</v>
      </c>
      <c r="AL201" s="10" t="str">
        <f t="shared" si="60"/>
        <v>0,0172181791024434-8,09442118913933E-06i</v>
      </c>
      <c r="AM201" s="10" t="str">
        <f t="shared" si="61"/>
        <v>0,00972775359836883-0,00329579362594614i</v>
      </c>
      <c r="AN201" s="10" t="str">
        <f t="shared" si="65"/>
        <v>-0,065132698763196+0,0221013035811403i</v>
      </c>
      <c r="AO201" s="10">
        <f t="shared" si="66"/>
        <v>6.8780346525464373E-2</v>
      </c>
      <c r="AP201" s="10">
        <f t="shared" si="67"/>
        <v>2.8144572537152968</v>
      </c>
      <c r="AQ201" s="10">
        <f t="shared" si="68"/>
        <v>161.25652225786683</v>
      </c>
      <c r="AR201" s="10">
        <f t="shared" si="69"/>
        <v>-23.250712809385099</v>
      </c>
      <c r="AS201" s="10">
        <f t="shared" si="70"/>
        <v>-32.7020453191966</v>
      </c>
      <c r="AT201" s="10">
        <f t="shared" si="71"/>
        <v>-9.9379824879354715</v>
      </c>
    </row>
    <row r="202" spans="25:46" x14ac:dyDescent="0.35">
      <c r="Y202" s="10">
        <v>200</v>
      </c>
      <c r="Z202" s="10">
        <f t="shared" si="62"/>
        <v>999999.99999999953</v>
      </c>
      <c r="AA202" s="10" t="str">
        <f t="shared" si="63"/>
        <v>6283185,30717958i</v>
      </c>
      <c r="AC202" s="10">
        <f>1/(2*$T$3+$T$6*$T$2/('4. Boost Inductor'!$B$11*$T$3^2)*($T$5))</f>
        <v>0.32865720058048542</v>
      </c>
      <c r="AD202" s="10" t="str">
        <f t="shared" si="58"/>
        <v>0,00499359977821229-0,000109073862236446i</v>
      </c>
      <c r="AE202" s="10" t="str">
        <f t="shared" si="59"/>
        <v>-0,921212912207431-0,137095095850497i</v>
      </c>
      <c r="AF202" s="10" t="str">
        <f t="shared" si="64"/>
        <v>-0,333694483103934-0,0422343938843989i</v>
      </c>
      <c r="AG202" s="10">
        <f t="shared" si="54"/>
        <v>0.33635658471447266</v>
      </c>
      <c r="AH202" s="10">
        <f t="shared" si="55"/>
        <v>-3.0156959967976853</v>
      </c>
      <c r="AI202" s="10">
        <f t="shared" si="56"/>
        <v>-172.78665291100518</v>
      </c>
      <c r="AJ202" s="10">
        <f t="shared" si="57"/>
        <v>-9.4640013178713218</v>
      </c>
      <c r="AL202" s="10" t="str">
        <f t="shared" si="60"/>
        <v>0,0172181790938409-7,55415338729269E-06i</v>
      </c>
      <c r="AM202" s="10" t="str">
        <f t="shared" si="61"/>
        <v>0,00972633821693815-0,00307581797216824i</v>
      </c>
      <c r="AN202" s="10" t="str">
        <f t="shared" si="65"/>
        <v>-0,0651245592788342+0,0206261618913957i</v>
      </c>
      <c r="AO202" s="10">
        <f t="shared" si="66"/>
        <v>6.8312859518779148E-2</v>
      </c>
      <c r="AP202" s="10">
        <f t="shared" si="67"/>
        <v>2.8348690976962856</v>
      </c>
      <c r="AQ202" s="10">
        <f t="shared" si="68"/>
        <v>162.42603477005702</v>
      </c>
      <c r="AR202" s="10">
        <f t="shared" si="69"/>
        <v>-23.3099507016674</v>
      </c>
      <c r="AS202" s="10">
        <f t="shared" si="70"/>
        <v>-32.773952019538726</v>
      </c>
      <c r="AT202" s="10">
        <f t="shared" si="71"/>
        <v>-10.360618140948162</v>
      </c>
    </row>
  </sheetData>
  <customSheetViews>
    <customSheetView guid="{25ED444C-8CCE-464F-9E26-1EDA12EA830D}" scale="85">
      <selection activeCell="E7" sqref="E7"/>
      <pageMargins left="0.7" right="0.7" top="0.75" bottom="0.75" header="0.3" footer="0.3"/>
      <pageSetup orientation="portrait" r:id="rId1"/>
    </customSheetView>
  </customSheetViews>
  <conditionalFormatting sqref="E4">
    <cfRule type="notContainsBlanks" dxfId="0" priority="1">
      <formula>LEN(TRIM(E4))&gt;0</formula>
    </cfRule>
  </conditionalFormatting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"/>
  <sheetViews>
    <sheetView workbookViewId="0">
      <selection activeCell="F35" sqref="F35"/>
    </sheetView>
  </sheetViews>
  <sheetFormatPr defaultRowHeight="14.5" x14ac:dyDescent="0.35"/>
  <sheetData/>
  <customSheetViews>
    <customSheetView guid="{25ED444C-8CCE-464F-9E26-1EDA12EA830D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D3"/>
  <sheetViews>
    <sheetView topLeftCell="A4" workbookViewId="0">
      <selection activeCell="J45" sqref="J45"/>
    </sheetView>
  </sheetViews>
  <sheetFormatPr defaultRowHeight="14.5" x14ac:dyDescent="0.35"/>
  <sheetData>
    <row r="1" spans="1:4" hidden="1" x14ac:dyDescent="0.35">
      <c r="B1" t="s">
        <v>32</v>
      </c>
      <c r="C1" t="s">
        <v>65</v>
      </c>
      <c r="D1" t="s">
        <v>34</v>
      </c>
    </row>
    <row r="2" spans="1:4" hidden="1" x14ac:dyDescent="0.35">
      <c r="A2" t="s">
        <v>64</v>
      </c>
      <c r="B2">
        <f>1-Vin_max/Vout</f>
        <v>-1.9090909090909092</v>
      </c>
      <c r="C2">
        <f>1-Vin_nominal/Vout</f>
        <v>-9.0909090909090828E-2</v>
      </c>
      <c r="D2">
        <f>1-Vin_min/Vout</f>
        <v>0.27272727272727271</v>
      </c>
    </row>
    <row r="3" spans="1:4" hidden="1" x14ac:dyDescent="0.35">
      <c r="A3" t="s">
        <v>9</v>
      </c>
      <c r="C3">
        <f>1/('2. Design Parameters'!C6*1000)</f>
        <v>4.9999999999999998E-7</v>
      </c>
    </row>
  </sheetData>
  <customSheetViews>
    <customSheetView guid="{25ED444C-8CCE-464F-9E26-1EDA12EA830D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12</vt:i4>
      </vt:variant>
      <vt:variant>
        <vt:lpstr>Névvel ellátott tartományok</vt:lpstr>
      </vt:variant>
      <vt:variant>
        <vt:i4>37</vt:i4>
      </vt:variant>
    </vt:vector>
  </HeadingPairs>
  <TitlesOfParts>
    <vt:vector size="49" baseType="lpstr">
      <vt:lpstr>1. Introduction</vt:lpstr>
      <vt:lpstr>2. Design Parameters</vt:lpstr>
      <vt:lpstr>3. Feedback Resistors</vt:lpstr>
      <vt:lpstr>4. Boost Inductor</vt:lpstr>
      <vt:lpstr>6. Output Capacitors</vt:lpstr>
      <vt:lpstr>5. Current Sense Resistor</vt:lpstr>
      <vt:lpstr>Input Capacitor</vt:lpstr>
      <vt:lpstr>7. Diode</vt:lpstr>
      <vt:lpstr>8. MOSFET</vt:lpstr>
      <vt:lpstr>9. Loop Compensation</vt:lpstr>
      <vt:lpstr>Design Information</vt:lpstr>
      <vt:lpstr>Calculations</vt:lpstr>
      <vt:lpstr>C0</vt:lpstr>
      <vt:lpstr>comp_C1</vt:lpstr>
      <vt:lpstr>comp_C2</vt:lpstr>
      <vt:lpstr>comp_R2</vt:lpstr>
      <vt:lpstr>Dconv_max</vt:lpstr>
      <vt:lpstr>Dmax_min</vt:lpstr>
      <vt:lpstr>Dmax_nom</vt:lpstr>
      <vt:lpstr>Fsw_max</vt:lpstr>
      <vt:lpstr>Fsw_min</vt:lpstr>
      <vt:lpstr>Fsw_nom</vt:lpstr>
      <vt:lpstr>gm</vt:lpstr>
      <vt:lpstr>IavgL</vt:lpstr>
      <vt:lpstr>Ioutmax</vt:lpstr>
      <vt:lpstr>IPeakL</vt:lpstr>
      <vt:lpstr>Iripple</vt:lpstr>
      <vt:lpstr>IrmsL</vt:lpstr>
      <vt:lpstr>Lo</vt:lpstr>
      <vt:lpstr>R0</vt:lpstr>
      <vt:lpstr>Rlower</vt:lpstr>
      <vt:lpstr>Rotaesd</vt:lpstr>
      <vt:lpstr>Rout</vt:lpstr>
      <vt:lpstr>Rupper</vt:lpstr>
      <vt:lpstr>SC_nom</vt:lpstr>
      <vt:lpstr>Tsw</vt:lpstr>
      <vt:lpstr>vcl_max</vt:lpstr>
      <vt:lpstr>vcl_min</vt:lpstr>
      <vt:lpstr>vcl_nom</vt:lpstr>
      <vt:lpstr>Vdrv_nom</vt:lpstr>
      <vt:lpstr>Vf</vt:lpstr>
      <vt:lpstr>Vin_max</vt:lpstr>
      <vt:lpstr>Vin_min</vt:lpstr>
      <vt:lpstr>Vin_nominal</vt:lpstr>
      <vt:lpstr>Vout</vt:lpstr>
      <vt:lpstr>wp1e</vt:lpstr>
      <vt:lpstr>wp2e</vt:lpstr>
      <vt:lpstr>wz1e</vt:lpstr>
      <vt:lpstr>wz2e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Laprade</dc:creator>
  <cp:lastModifiedBy>FIXED-TERM Kardos Milan (ME/EMC5-HU)</cp:lastModifiedBy>
  <dcterms:created xsi:type="dcterms:W3CDTF">2006-09-16T00:00:00Z</dcterms:created>
  <dcterms:modified xsi:type="dcterms:W3CDTF">2024-11-28T21:33:15Z</dcterms:modified>
</cp:coreProperties>
</file>