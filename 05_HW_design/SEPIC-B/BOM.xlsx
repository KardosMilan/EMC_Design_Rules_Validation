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7_Employee_storage\Kardos\"/>
    </mc:Choice>
  </mc:AlternateContent>
  <xr:revisionPtr revIDLastSave="0" documentId="13_ncr:1_{79962B48-B801-4CA8-AD21-2428BDC397C9}" xr6:coauthVersionLast="47" xr6:coauthVersionMax="47" xr10:uidLastSave="{00000000-0000-0000-0000-000000000000}"/>
  <bookViews>
    <workbookView xWindow="-28920" yWindow="-60" windowWidth="29040" windowHeight="15840" xr2:uid="{00000000-000D-0000-FFFF-FFFF00000000}"/>
  </bookViews>
  <sheets>
    <sheet name="SEPIC_A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5" i="1" l="1"/>
  <c r="B48" i="1"/>
  <c r="E48" i="1"/>
  <c r="H50" i="1" s="1"/>
</calcChain>
</file>

<file path=xl/sharedStrings.xml><?xml version="1.0" encoding="utf-8"?>
<sst xmlns="http://schemas.openxmlformats.org/spreadsheetml/2006/main" count="243" uniqueCount="207">
  <si>
    <t>Reference</t>
  </si>
  <si>
    <t>Value</t>
  </si>
  <si>
    <t>Shop</t>
  </si>
  <si>
    <t>Datasheet</t>
  </si>
  <si>
    <t>Footprint</t>
  </si>
  <si>
    <t>Qty</t>
  </si>
  <si>
    <t>Bolti Darab</t>
  </si>
  <si>
    <t>Ár (ft)</t>
  </si>
  <si>
    <t>Összesen</t>
  </si>
  <si>
    <t>4db PCB-re [db]</t>
  </si>
  <si>
    <t>Összesen [ft]</t>
  </si>
  <si>
    <t>R5</t>
  </si>
  <si>
    <t>1.1k</t>
  </si>
  <si>
    <t>https://hu.farnell.com/panasonic/erj6geyj112v/res-1k1-5-0-125w-0805-thick-film/dp/2323808</t>
  </si>
  <si>
    <t>http://industrial.panasonic.com/cdbs/www-data/pdf/RDA0000/AOA0000C301.pdf</t>
  </si>
  <si>
    <t>Resistor_SMD:R_0805_2012Metric_Pad1.20x1.40mm_HandSolder</t>
  </si>
  <si>
    <t>R4</t>
  </si>
  <si>
    <t>1R</t>
  </si>
  <si>
    <t>https://hu.farnell.com/bourns/cr0805-j-1r0elf/res-1r-5-0-125w-0805-thick-film/dp/2333534</t>
  </si>
  <si>
    <t>https://www.farnell.com/datasheets/3693949.pdf</t>
  </si>
  <si>
    <t>R28</t>
  </si>
  <si>
    <t>R</t>
  </si>
  <si>
    <t>https://hu.farnell.com/walsin/wr12x151-jtl/res-150r-5-0-25w-1206-thick-film/dp/2671138</t>
  </si>
  <si>
    <t>https://4donline.ihs.com/images/VipMasterIC/IC/WATC/WATC-S-A0005256878/WATC-S-A0005256878-1.pdf?hkey=6D3A4C79FDBF58556ACFDE234799DDF0</t>
  </si>
  <si>
    <t>Resistor_SMD:R_1206_3216Metric_Pad1.30x1.75mm_HandSolder</t>
  </si>
  <si>
    <t>C31</t>
  </si>
  <si>
    <t>1uF, 25V</t>
  </si>
  <si>
    <t>https://hu.farnell.com/avx/08053g105zat2a/cap-1-f-25v-y5v-0805/dp/2332746</t>
  </si>
  <si>
    <t>https://4donline.ihs.com/images/VipMasterIC/IC/AVXC/AVXC-S-A0011272541/AVXC-S-A0011272541-1.pdf?hkey=6D3A4C79FDBF58556ACFDE234799DDF0</t>
  </si>
  <si>
    <t>Capacitor_SMD:C_0805_2012Metric_Pad1.18x1.45mm_HandSolder</t>
  </si>
  <si>
    <t>C32</t>
  </si>
  <si>
    <t>680pF, 100V</t>
  </si>
  <si>
    <t>https://hu.farnell.com/avx/06031c681kat2a/cap-680pf-100v-mlcc-0603/dp/3288880</t>
  </si>
  <si>
    <t>https://4donline.ihs.com/images/VipMasterIC/IC/AVXC/AVXC-S-A0013335498/AVXC-S-A0014059611-1.pdf?hkey=6D3A4C79FDBF58556ACFDE234799DDF0</t>
  </si>
  <si>
    <t>Capacitor_SMD:C_0603_1608Metric_Pad1.08x0.95mm_HandSolder</t>
  </si>
  <si>
    <t>C5,C6,C7,C8,C9,C14,C15,C16,C17,C18,C20,C42</t>
  </si>
  <si>
    <t>10uF, 50V</t>
  </si>
  <si>
    <t>https://hu.farnell.com/tdk/cga6p3x7s1h106k250ab/cap-10-f-50v-10-x7s-1210/dp/2211159</t>
  </si>
  <si>
    <t>https://www.farnell.com/datasheets/3816851.pdf</t>
  </si>
  <si>
    <t>Capacitor_SMD:C_1210_3225Metric_Pad1.33x2.70mm_HandSolder</t>
  </si>
  <si>
    <t>C4,C10,C11,C12,C13,C19,C41</t>
  </si>
  <si>
    <t>100nF, 50V</t>
  </si>
  <si>
    <t>https://hu.farnell.com/kemet/c0805x104j5rac3316/cap-0-1-f-50v-5-x7r-0805/dp/2666904</t>
  </si>
  <si>
    <t>https://4donline.ihs.com/images/VipMasterIC/IC/KEME/KEME-S-A0018777717/KEME-S-A0018891838-1.pdf?hkey=6D3A4C79FDBF58556ACFDE234799DDF0</t>
  </si>
  <si>
    <t>C1,C2,C3,C21,C23,C37,C38,C46</t>
  </si>
  <si>
    <t>1nF, 100V</t>
  </si>
  <si>
    <t>https://hu.farnell.com/kemet/c0805x102k1racauto/cap-1000pf-100v-10-x7r-0805/dp/2821055</t>
  </si>
  <si>
    <t>https://4donline.ihs.com/images/VipMasterIC/IC/KEME/KEME-S-A0018892237/KEME-S-A0018892237-1.pdf?hkey=6D3A4C79FDBF58556ACFDE234799DDF0</t>
  </si>
  <si>
    <t>C47</t>
  </si>
  <si>
    <t>2.2uF, 50V</t>
  </si>
  <si>
    <t>https://hu.farnell.com/kemet/c1206c225m5ractu/cap-2-2-f-50v-20-x7r-1206/dp/2820946</t>
  </si>
  <si>
    <t>https://search.kemet.com/component-documentation/download/specsheet/C1206C225M5RACTU</t>
  </si>
  <si>
    <t>Capacitor_SMD:C_1206_3216Metric_Pad1.33x1.80mm_HandSolder</t>
  </si>
  <si>
    <t>C22</t>
  </si>
  <si>
    <t>470pF, 50V</t>
  </si>
  <si>
    <t>https://hu.farnell.com/kemet/c0603s471k5racauto/cap-mlcc-aec-q200-470pf-50v-0603/dp/2904848</t>
  </si>
  <si>
    <t>https://4donline.ihs.com/images/VipMasterIC/IC/KEME/KEME-S-A0018897373/KEME-S-A0018902451-1.pdf?hkey=6D3A4C79FDBF58556ACFDE234799DDF0</t>
  </si>
  <si>
    <t>C30</t>
  </si>
  <si>
    <t>100pF, 50V</t>
  </si>
  <si>
    <t>https://hu.farnell.com/kemet/c0402c101k5gacauto/cap-100pf-50v-10-c0g-np0-0402/dp/2904514</t>
  </si>
  <si>
    <t>https://4donline.ihs.com/images/VipMasterIC/IC/KEME/KEME-S-A0018897402/KEME-S-A0018897402-1.pdf?hkey=6D3A4C79FDBF58556ACFDE234799DDF0</t>
  </si>
  <si>
    <t>Capacitor_SMD:C_0402_1005Metric_Pad0.74x0.62mm_HandSolder</t>
  </si>
  <si>
    <t>C29</t>
  </si>
  <si>
    <t>1nF, 50V</t>
  </si>
  <si>
    <t>https://hu.farnell.com/kemet/c0402c102j5racauto/cap-1000pf-50v-5-x7r-0402/dp/2904523</t>
  </si>
  <si>
    <t>https://4donline.ihs.com/images/VipMasterIC/IC/KEME/KEME-S-A0018897413/KEME-S-A0018897413-1.pdf?hkey=6D3A4C79FDBF58556ACFDE234799DDF0</t>
  </si>
  <si>
    <t>Capacitor_SMD:C_0402_1005Metric</t>
  </si>
  <si>
    <t>C34,C35,C36,C43</t>
  </si>
  <si>
    <t>4.7nF, 100V</t>
  </si>
  <si>
    <t>https://hu.farnell.com/kemet/c0805c472k1ractu/cap-4700pf-100v-10-x7r-0805/dp/2332407</t>
  </si>
  <si>
    <t>https://4donline.ihs.com/images/VipMasterIC/IC/KEME/KEME-S-A0018902345/KEME-S-A0018902501-1.pdf?hkey=6D3A4C79FDBF58556ACFDE234799DDF0</t>
  </si>
  <si>
    <t>D1,D2</t>
  </si>
  <si>
    <t>PMEG6030ELP</t>
  </si>
  <si>
    <t>https://hu.farnell.com/nexperia/pmeg6030elpx/schottky-rect-3a-60v-sod128/dp/2498564</t>
  </si>
  <si>
    <t>https://4donline.ihs.com/images/VipMasterIC/IC/NEXP/NEXP-S-A0003105620/NEXP-S-A0003105670-1.pdf?hkey=6D3A4C79FDBF58556ACFDE234799DDF0</t>
  </si>
  <si>
    <t>Diode_SMD:D_SOD-128</t>
  </si>
  <si>
    <t>U2</t>
  </si>
  <si>
    <t>SZBZX84C4V7ET1G</t>
  </si>
  <si>
    <t>https://hu.farnell.com/on-semiconductor/szbzx84c4v7et1g/zener-diode-aecq101-4-7v-0-25w/dp/3368153</t>
  </si>
  <si>
    <t>https://4donline.ihs.com/images/VipMasterIC/IC/ONSM/ONSM-S-A0004900107/ONSM-S-A0002809067-1.pdf?hkey=6D3A4C79FDBF58556ACFDE234799DDF0</t>
  </si>
  <si>
    <t>Package_TO_SOT_SMD:SOT-23</t>
  </si>
  <si>
    <t>R9</t>
  </si>
  <si>
    <t>5.62k</t>
  </si>
  <si>
    <t>https://hu.farnell.com/panasonic/erj2rkf5621x/res-5k62-1-0-1w-0402-thick-film/dp/2302714</t>
  </si>
  <si>
    <t>https://4donline.ihs.com/images/VipMasterIC/IC/PANA/PANA-S-A0007945459/PANA-S-A0007945459-1.pdf?hkey=6D3A4C79FDBF58556ACFDE234799DDF0</t>
  </si>
  <si>
    <t>Resistor_SMD:R_0402_1005Metric_Pad0.72x0.64mm_HandSolder</t>
  </si>
  <si>
    <t>R6,R18,R19,R26</t>
  </si>
  <si>
    <t>22R</t>
  </si>
  <si>
    <t>https://hu.farnell.com/multicomp-pro/mp000064/res-aec-q200-22r-5-0-25w-0805/dp/3127834</t>
  </si>
  <si>
    <t>https://4donline.ihs.com/images/VipMasterIC/IC/SCMP/SCMP-S-A0008596024/SCMP-S-A0008596024-1.pdf?hkey=6D3A4C79FDBF58556ACFDE234799DDF0</t>
  </si>
  <si>
    <t>R23</t>
  </si>
  <si>
    <t>0.05R</t>
  </si>
  <si>
    <t>https://hu.farnell.com/multicomp-pro/mclrp12jtdrr050/res-detec-corriente-0r05-5-3w/dp/2828309</t>
  </si>
  <si>
    <t>https://4donline.ihs.com/images/VipMasterIC/IC/SCMP/SCMP-S-A0011506898/SCMP-S-A0011506898-1.pdf?hkey=6D3A4C79FDBF58556ACFDE234799DDF0</t>
  </si>
  <si>
    <t>Resistor_SMD:R_2512_6332Metric_Pad1.40x3.35mm_HandSolder</t>
  </si>
  <si>
    <t>Q1</t>
  </si>
  <si>
    <t>BUK9Y25-60E_A004X</t>
  </si>
  <si>
    <t>https://hu.farnell.com/nexperia/buk9y25-60e-115/mosfet-aecq101-n-ch-60v-34a-lfpak56/dp/3439716</t>
  </si>
  <si>
    <t>https://assets.nexperia.com/documents/data-sheet/BUK9Y25-60E.pdf</t>
  </si>
  <si>
    <t>KiCad1:BUK9Y2560EA004X</t>
  </si>
  <si>
    <t>D3</t>
  </si>
  <si>
    <t>PMEG6020ELR</t>
  </si>
  <si>
    <t>https://hu.farnell.com/nexperia/pmeg6020elrx/rectifier-schottky-2a-60v-sod/dp/2469682</t>
  </si>
  <si>
    <t>https://assets.nexperia.com/documents/data-sheet/PMEG6020ELR.pdf</t>
  </si>
  <si>
    <t>Diode_SMD:Nexperia_CFP3_SOD-123W</t>
  </si>
  <si>
    <t>C26</t>
  </si>
  <si>
    <t>270 uF, 35V</t>
  </si>
  <si>
    <t>https://at.farnell.com/en-AT/epcos/b40900b7277m000/cap-270uf-35v-alu-elec-hybrid/dp/3266927</t>
  </si>
  <si>
    <t>https://product.tdk.com/system/files/dam/doc/product/capacitor/aluminum-electrolytic/hybrid-polymer/data_sheet/20/30/db/aec/b40900.pdf</t>
  </si>
  <si>
    <t>Capacitor_SMD:CP_Elec_10x10.5</t>
  </si>
  <si>
    <t>Itthon nem elérhet? csak 1000 darabos</t>
  </si>
  <si>
    <t>euroban lehet csak</t>
  </si>
  <si>
    <t>C40</t>
  </si>
  <si>
    <t>330pF, 100V</t>
  </si>
  <si>
    <t>https://hu.farnell.com/kemet/c0402c331j1gactu/cap-330pf-100v-mlcc-0402/dp/2940861</t>
  </si>
  <si>
    <t>https://search.kemet.com/component-documentation/download/specsheet/C0402C331J1GACTU</t>
  </si>
  <si>
    <t>C44</t>
  </si>
  <si>
    <t>47nF, 16V</t>
  </si>
  <si>
    <t>https://hu.farnell.com/yageo/cc0402krx7r7bb472/cap-4700pf-16v-10-x7r-0402/dp/3019251</t>
  </si>
  <si>
    <t>https://www.yageo.com/upload/media/product/productsearch/datasheet/mlcc/UPY-GPHC_X7R_6.3V-to-50V_20.pdf</t>
  </si>
  <si>
    <t>C25</t>
  </si>
  <si>
    <t>https://search.kemet.com/component-documentation/download/specsheet/C0805X104J5RAC3316</t>
  </si>
  <si>
    <t>C39</t>
  </si>
  <si>
    <t>4.7nF, 50V</t>
  </si>
  <si>
    <t>https://hu.farnell.com/kemet/c1206c475k5pactu/cap-4-7-f-50v-10-x5r-1206/dp/1572637</t>
  </si>
  <si>
    <t>L3,L4</t>
  </si>
  <si>
    <t>VCSC108T-150MS6K</t>
  </si>
  <si>
    <t>https://www.digikey.de/de/products/detail/delta-electronics-cyntec/VCSC108T-150MS6K/22581627?s=N4IgjCBcoEwAwA4DsVQGMoDMCGAbAzgKYA0IA9lANrgCsABAK0ASIAuqQA4AuUIAqgDsAllwDymALKFs%2BAK4AnQiAC%2By0jCogAbmnxowiHq2VA</t>
  </si>
  <si>
    <t>https://www.cyntec.com/upfile/products/download/(A8)%20VCSC108T%20MS6K%20Series_standard.pdf</t>
  </si>
  <si>
    <t>Inductor_SMD:VCSC108T</t>
  </si>
  <si>
    <t>L1,L2</t>
  </si>
  <si>
    <t>4.7uH</t>
  </si>
  <si>
    <t>https://hu.farnell.com/tdk/clf6045t-4r7n-d/inductor-4-7uh-2-5a-30-pwr-100khz/dp/2362560</t>
  </si>
  <si>
    <t>https://www.farnell.com/datasheets/1763485.pdf</t>
  </si>
  <si>
    <t>KiCad5:CLF6045__</t>
  </si>
  <si>
    <t>Ithon csak 1000 darabos</t>
  </si>
  <si>
    <t>R25</t>
  </si>
  <si>
    <t>5.11k</t>
  </si>
  <si>
    <t>https://hu.farnell.com/walsin/wr08x5111ftl/res-5k11-1-0-125w-0805-thick-film/dp/2671054</t>
  </si>
  <si>
    <t>R11,R12,R21,R22</t>
  </si>
  <si>
    <t>2.2R</t>
  </si>
  <si>
    <t>https://hu.farnell.com/te-connectivity/crgcq0603j2r2/res-2r2-5-0603-thick-film/dp/2861848</t>
  </si>
  <si>
    <t>https://www.farnell.com/datasheets/2609223.pdf</t>
  </si>
  <si>
    <t>Resistor_SMD:R_0201_0603Metric_Pad0.64x0.40mm_HandSolder</t>
  </si>
  <si>
    <t>R7</t>
  </si>
  <si>
    <t>15k</t>
  </si>
  <si>
    <t>https://hu.farnell.com/multicomp/mcmr04x153-jtl/res-15k-5-0-0625w-0402-ceramic/dp/2072651</t>
  </si>
  <si>
    <t>https://www.farnell.com/datasheets/2860635.pdf</t>
  </si>
  <si>
    <t>R8</t>
  </si>
  <si>
    <t>46.4k</t>
  </si>
  <si>
    <t>https://hu.farnell.com/multicomp-pro/mcwf08w4642btl/res-46k4-0-1-0-125w-0805-thin/dp/2338193</t>
  </si>
  <si>
    <t>https://www.farnell.com/datasheets/2863884.pdf</t>
  </si>
  <si>
    <t>J1</t>
  </si>
  <si>
    <t>Banana_Red_IN</t>
  </si>
  <si>
    <t>https://hu.farnell.com/multicomp/24-243-1/banana-socket-20a-4mm-pcb-red/dp/1698982?pf_custSiteRedirect=true</t>
  </si>
  <si>
    <t>https://www.farnell.com/datasheets/2963540.pdf</t>
  </si>
  <si>
    <t>banana_red:242431</t>
  </si>
  <si>
    <t>J2</t>
  </si>
  <si>
    <t>Banana_Red_OUT</t>
  </si>
  <si>
    <t>J3</t>
  </si>
  <si>
    <t>Banana_Black_IN</t>
  </si>
  <si>
    <t>https://hu.farnell.com/multicomp/24-243-2/receptacle-20a-4mm-pcb-solder/dp/1698983?pf_custSiteRedirect=true</t>
  </si>
  <si>
    <t>banana_black:242432</t>
  </si>
  <si>
    <t>J4</t>
  </si>
  <si>
    <t>Banana_Black_OUT</t>
  </si>
  <si>
    <t>R1,R2,R3</t>
  </si>
  <si>
    <t>21.5R</t>
  </si>
  <si>
    <t>https://hu.farnell.com/te-connectivity/rp73pf2a21r5btdf/res-21r5-0-1-0-25w-0805-thin-film/dp/2116983</t>
  </si>
  <si>
    <t>https://www.farnell.com/datasheets/3156821.pdf</t>
  </si>
  <si>
    <t>R17</t>
  </si>
  <si>
    <t>5.11R</t>
  </si>
  <si>
    <t>https://hu.farnell.com/yageo/rc0805fr-075r11l/res-5r11-1-0-125w-0805-thick-film/dp/3496079?pf_custSiteRedirect=true</t>
  </si>
  <si>
    <t>https://www.farnell.com/datasheets/3795017.pdf</t>
  </si>
  <si>
    <t>C24</t>
  </si>
  <si>
    <t>C27,C28</t>
  </si>
  <si>
    <t>https://hu.farnell.com/tdk/c3216x7r1h225k160ae/cap-2-2-f-50v-10-x7r-1206/dp/2906842</t>
  </si>
  <si>
    <t>https://www.farnell.com/datasheets/3919271.pdf</t>
  </si>
  <si>
    <t>R10</t>
  </si>
  <si>
    <t>3.01k</t>
  </si>
  <si>
    <t>https://hu.farnell.com/koa-speer-electronics/rk73h1ettp3011f/res-3k01-1-0-1w-0402/dp/3538958</t>
  </si>
  <si>
    <t>https://www.koaglobal.com/-/media/Files/KOA_Global/EN/product/commonpdf/rk73h.pdf</t>
  </si>
  <si>
    <t>IC1</t>
  </si>
  <si>
    <t>NCV898031D1R2G</t>
  </si>
  <si>
    <t>https://hu.farnell.com/on-semiconductor/ncv898031d1r2g/dc-dc-controllers/dp/3613065</t>
  </si>
  <si>
    <t>https://www.onsemi.com/pub/Collateral/NCV898031-D.PDF?hkey=EF798316E3902B6ED9A73243A3159BB0</t>
  </si>
  <si>
    <t>KiCad4:SOIC127P600X175-8N</t>
  </si>
  <si>
    <t>2500 dbos szalag</t>
  </si>
  <si>
    <t>C33</t>
  </si>
  <si>
    <t>6.8nF, 100V</t>
  </si>
  <si>
    <t>https://hu.farnell.com/wurth-elektronik/885012206113/cap-6800pf-100v-10-x7r-0603/dp/2812367</t>
  </si>
  <si>
    <t>https://www.we-online.com/components/products/datasheet/885012206113.pdf</t>
  </si>
  <si>
    <t>R24</t>
  </si>
  <si>
    <t>10k</t>
  </si>
  <si>
    <t>https://hu.farnell.com/yageo/rt0805brb0710kl/res-10k-0-1-0-125w-0805-thin-film/dp/3496710?pf_custSiteRedirect=true</t>
  </si>
  <si>
    <t>https://www.yageo.com/upload/media/product/app/datasheet/rchip/pyu-rt_1-to-0.01_rohs_l.pdf</t>
  </si>
  <si>
    <t>Összesen:</t>
  </si>
  <si>
    <t>Housing</t>
  </si>
  <si>
    <t>https://hu.farnell.com/hammond/1590ce/enclosure-diecast/dp/1877076</t>
  </si>
  <si>
    <t>https://www.farnell.com/datasheets/1913809.pdf</t>
  </si>
  <si>
    <t>.</t>
  </si>
  <si>
    <t>EURO/DB</t>
  </si>
  <si>
    <t>DB</t>
  </si>
  <si>
    <t>össz</t>
  </si>
  <si>
    <t>PCB rendelés</t>
  </si>
  <si>
    <t>Végösszeg</t>
  </si>
  <si>
    <t>https://www.eurocircuits.hu/pcb-beultetes-standard-pool/</t>
  </si>
  <si>
    <t>https://be.eurocircuits.com/shop/assembly/configurator.aspx?sessionid=cbd32a67-34b7-461b-924a-d88c2fe45909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</si>
</sst>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0" borderId="10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19" fillId="0" borderId="14" xfId="0" applyFont="1" applyBorder="1"/>
    <xf numFmtId="0" fontId="7" fillId="3" borderId="0" xfId="7"/>
    <xf numFmtId="0" fontId="0" fillId="0" borderId="0" xfId="0" applyAlignment="1">
      <alignment horizontal="right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G34" sqref="G34"/>
    </sheetView>
  </sheetViews>
  <sheetFormatPr defaultRowHeight="15" x14ac:dyDescent="0.25"/>
  <cols>
    <col min="1" max="1" width="17" customWidth="1"/>
    <col min="2" max="2" width="56" customWidth="1"/>
    <col min="3" max="3" width="70.140625" customWidth="1"/>
    <col min="7" max="7" width="35.140625" customWidth="1"/>
    <col min="10" max="10" width="25.140625" customWidth="1"/>
    <col min="11" max="11" width="15.28515625" customWidth="1"/>
    <col min="12" max="12" width="15.5703125" customWidth="1"/>
  </cols>
  <sheetData>
    <row r="1" spans="1:12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5" t="s">
        <v>9</v>
      </c>
      <c r="L1" s="5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10</v>
      </c>
      <c r="H2">
        <v>14.7</v>
      </c>
      <c r="I2">
        <v>147</v>
      </c>
      <c r="K2" s="6">
        <v>4</v>
      </c>
      <c r="L2" s="3">
        <v>147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  <c r="E3" t="s">
        <v>15</v>
      </c>
      <c r="F3">
        <v>1</v>
      </c>
      <c r="G3">
        <v>10</v>
      </c>
      <c r="H3">
        <v>3.6</v>
      </c>
      <c r="I3">
        <v>36</v>
      </c>
      <c r="K3" s="6">
        <v>4</v>
      </c>
      <c r="L3" s="3">
        <v>36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>
        <v>10</v>
      </c>
      <c r="H4">
        <v>5.5709999999999997</v>
      </c>
      <c r="I4">
        <v>55.71</v>
      </c>
      <c r="K4" s="6">
        <v>4</v>
      </c>
      <c r="L4" s="3">
        <v>55.71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1</v>
      </c>
      <c r="G5">
        <v>10</v>
      </c>
      <c r="H5">
        <v>42.88</v>
      </c>
      <c r="I5">
        <v>428.8</v>
      </c>
      <c r="K5" s="6">
        <v>4</v>
      </c>
      <c r="L5" s="3">
        <v>428.8</v>
      </c>
    </row>
    <row r="6" spans="1:12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>
        <v>1</v>
      </c>
      <c r="G6">
        <v>10</v>
      </c>
      <c r="H6">
        <v>18</v>
      </c>
      <c r="I6">
        <v>180</v>
      </c>
      <c r="K6" s="6">
        <v>4</v>
      </c>
      <c r="L6" s="3">
        <v>180</v>
      </c>
    </row>
    <row r="7" spans="1:12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>
        <v>12</v>
      </c>
      <c r="G7">
        <v>12</v>
      </c>
      <c r="H7">
        <v>244.47</v>
      </c>
      <c r="I7">
        <v>2933.64</v>
      </c>
      <c r="K7" s="6">
        <v>48</v>
      </c>
      <c r="L7" s="3">
        <v>11734.56</v>
      </c>
    </row>
    <row r="8" spans="1:12" x14ac:dyDescent="0.25">
      <c r="A8" t="s">
        <v>40</v>
      </c>
      <c r="B8" t="s">
        <v>41</v>
      </c>
      <c r="C8" t="s">
        <v>42</v>
      </c>
      <c r="D8" t="s">
        <v>43</v>
      </c>
      <c r="E8" t="s">
        <v>29</v>
      </c>
      <c r="F8">
        <v>7</v>
      </c>
      <c r="G8">
        <v>10</v>
      </c>
      <c r="H8">
        <v>293</v>
      </c>
      <c r="I8">
        <v>2930</v>
      </c>
      <c r="K8" s="6">
        <v>28</v>
      </c>
      <c r="L8" s="3">
        <v>8204</v>
      </c>
    </row>
    <row r="9" spans="1:12" x14ac:dyDescent="0.25">
      <c r="A9" t="s">
        <v>44</v>
      </c>
      <c r="B9" t="s">
        <v>45</v>
      </c>
      <c r="C9" t="s">
        <v>46</v>
      </c>
      <c r="D9" t="s">
        <v>47</v>
      </c>
      <c r="E9" t="s">
        <v>29</v>
      </c>
      <c r="F9">
        <v>8</v>
      </c>
      <c r="G9">
        <v>10</v>
      </c>
      <c r="H9">
        <v>84</v>
      </c>
      <c r="I9">
        <v>840</v>
      </c>
      <c r="K9" s="6">
        <v>32</v>
      </c>
      <c r="L9" s="3">
        <v>2688</v>
      </c>
    </row>
    <row r="10" spans="1:12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1</v>
      </c>
      <c r="G10">
        <v>10</v>
      </c>
      <c r="H10">
        <v>89</v>
      </c>
      <c r="I10">
        <v>890</v>
      </c>
      <c r="K10" s="6">
        <v>4</v>
      </c>
      <c r="L10" s="3">
        <v>890</v>
      </c>
    </row>
    <row r="11" spans="1:12" x14ac:dyDescent="0.25">
      <c r="A11" t="s">
        <v>53</v>
      </c>
      <c r="B11" t="s">
        <v>54</v>
      </c>
      <c r="C11" t="s">
        <v>55</v>
      </c>
      <c r="D11" t="s">
        <v>56</v>
      </c>
      <c r="E11" t="s">
        <v>34</v>
      </c>
      <c r="F11">
        <v>1</v>
      </c>
      <c r="G11">
        <v>10</v>
      </c>
      <c r="H11">
        <v>75</v>
      </c>
      <c r="I11">
        <v>750</v>
      </c>
      <c r="K11" s="6">
        <v>4</v>
      </c>
      <c r="L11" s="3">
        <v>750</v>
      </c>
    </row>
    <row r="12" spans="1:12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>
        <v>1</v>
      </c>
      <c r="G12">
        <v>10</v>
      </c>
      <c r="H12">
        <v>14</v>
      </c>
      <c r="I12">
        <v>140</v>
      </c>
      <c r="K12" s="6">
        <v>4</v>
      </c>
      <c r="L12" s="3">
        <v>140</v>
      </c>
    </row>
    <row r="13" spans="1:12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>
        <v>1</v>
      </c>
      <c r="G13">
        <v>10</v>
      </c>
      <c r="H13">
        <v>16</v>
      </c>
      <c r="I13">
        <v>160</v>
      </c>
      <c r="K13" s="6">
        <v>4</v>
      </c>
      <c r="L13" s="3">
        <v>160</v>
      </c>
    </row>
    <row r="14" spans="1:12" x14ac:dyDescent="0.25">
      <c r="A14" t="s">
        <v>67</v>
      </c>
      <c r="B14" t="s">
        <v>68</v>
      </c>
      <c r="C14" t="s">
        <v>69</v>
      </c>
      <c r="D14" t="s">
        <v>70</v>
      </c>
      <c r="E14" t="s">
        <v>29</v>
      </c>
      <c r="F14">
        <v>4</v>
      </c>
      <c r="G14">
        <v>10</v>
      </c>
      <c r="H14">
        <v>57</v>
      </c>
      <c r="I14">
        <v>570</v>
      </c>
      <c r="K14" s="6">
        <v>16</v>
      </c>
      <c r="L14" s="3">
        <v>912</v>
      </c>
    </row>
    <row r="15" spans="1:12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2</v>
      </c>
      <c r="G15">
        <v>5</v>
      </c>
      <c r="H15">
        <v>192</v>
      </c>
      <c r="I15">
        <v>960</v>
      </c>
      <c r="K15" s="6">
        <v>8</v>
      </c>
      <c r="L15" s="3">
        <v>1536</v>
      </c>
    </row>
    <row r="16" spans="1:12" x14ac:dyDescent="0.2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1</v>
      </c>
      <c r="G16">
        <v>5</v>
      </c>
      <c r="H16">
        <v>98.5</v>
      </c>
      <c r="I16">
        <v>492.5</v>
      </c>
      <c r="K16" s="6">
        <v>4</v>
      </c>
      <c r="L16" s="3">
        <v>492.5</v>
      </c>
    </row>
    <row r="17" spans="1:12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1</v>
      </c>
      <c r="G17">
        <v>10</v>
      </c>
      <c r="H17">
        <v>10.5</v>
      </c>
      <c r="I17">
        <v>105</v>
      </c>
      <c r="K17" s="6">
        <v>4</v>
      </c>
      <c r="L17" s="3">
        <v>105</v>
      </c>
    </row>
    <row r="18" spans="1:12" x14ac:dyDescent="0.25">
      <c r="A18" t="s">
        <v>86</v>
      </c>
      <c r="B18" t="s">
        <v>87</v>
      </c>
      <c r="C18" t="s">
        <v>88</v>
      </c>
      <c r="D18" t="s">
        <v>89</v>
      </c>
      <c r="E18" t="s">
        <v>15</v>
      </c>
      <c r="F18">
        <v>4</v>
      </c>
      <c r="G18">
        <v>10</v>
      </c>
      <c r="H18">
        <v>23.44</v>
      </c>
      <c r="I18">
        <v>234.4</v>
      </c>
      <c r="K18" s="6">
        <v>16</v>
      </c>
      <c r="L18" s="3">
        <v>375.04</v>
      </c>
    </row>
    <row r="19" spans="1:12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6</v>
      </c>
      <c r="G19">
        <v>10</v>
      </c>
      <c r="H19">
        <v>133.4</v>
      </c>
      <c r="I19">
        <v>1334</v>
      </c>
      <c r="K19" s="6">
        <v>24</v>
      </c>
      <c r="L19" s="3">
        <v>3201.6</v>
      </c>
    </row>
    <row r="20" spans="1:12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1</v>
      </c>
      <c r="G20">
        <v>1</v>
      </c>
      <c r="H20">
        <v>345</v>
      </c>
      <c r="I20">
        <v>345</v>
      </c>
      <c r="K20" s="6">
        <v>4</v>
      </c>
      <c r="L20" s="3">
        <v>1380</v>
      </c>
    </row>
    <row r="21" spans="1:12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1</v>
      </c>
      <c r="G21">
        <v>5</v>
      </c>
      <c r="H21">
        <v>187.9</v>
      </c>
      <c r="I21">
        <v>939.5</v>
      </c>
      <c r="K21" s="6">
        <v>4</v>
      </c>
      <c r="L21" s="3">
        <v>939.5</v>
      </c>
    </row>
    <row r="22" spans="1:12" x14ac:dyDescent="0.25">
      <c r="A22" t="s">
        <v>105</v>
      </c>
      <c r="B22" t="s">
        <v>106</v>
      </c>
      <c r="C22" s="10" t="s">
        <v>107</v>
      </c>
      <c r="D22" s="10" t="s">
        <v>108</v>
      </c>
      <c r="E22" s="10" t="s">
        <v>109</v>
      </c>
      <c r="F22" s="10">
        <v>1</v>
      </c>
      <c r="G22" s="10" t="s">
        <v>110</v>
      </c>
      <c r="J22" t="s">
        <v>111</v>
      </c>
      <c r="K22" s="6">
        <v>4</v>
      </c>
      <c r="L22" s="3"/>
    </row>
    <row r="23" spans="1:12" x14ac:dyDescent="0.25">
      <c r="A23" t="s">
        <v>112</v>
      </c>
      <c r="B23" t="s">
        <v>113</v>
      </c>
      <c r="C23" t="s">
        <v>114</v>
      </c>
      <c r="D23" t="s">
        <v>115</v>
      </c>
      <c r="E23" t="s">
        <v>61</v>
      </c>
      <c r="F23">
        <v>1</v>
      </c>
      <c r="G23">
        <v>10</v>
      </c>
      <c r="H23">
        <v>29.3</v>
      </c>
      <c r="I23">
        <v>293</v>
      </c>
      <c r="K23" s="6">
        <v>4</v>
      </c>
      <c r="L23" s="3">
        <v>293</v>
      </c>
    </row>
    <row r="24" spans="1:12" x14ac:dyDescent="0.25">
      <c r="A24" t="s">
        <v>116</v>
      </c>
      <c r="B24" t="s">
        <v>117</v>
      </c>
      <c r="C24" t="s">
        <v>118</v>
      </c>
      <c r="D24" t="s">
        <v>119</v>
      </c>
      <c r="E24" t="s">
        <v>61</v>
      </c>
      <c r="F24">
        <v>1</v>
      </c>
      <c r="G24">
        <v>10</v>
      </c>
      <c r="H24">
        <v>5.7</v>
      </c>
      <c r="I24">
        <v>57</v>
      </c>
      <c r="K24" s="6">
        <v>4</v>
      </c>
      <c r="L24" s="3">
        <v>57</v>
      </c>
    </row>
    <row r="25" spans="1:12" x14ac:dyDescent="0.25">
      <c r="A25" t="s">
        <v>120</v>
      </c>
      <c r="B25" t="s">
        <v>41</v>
      </c>
      <c r="C25" t="s">
        <v>42</v>
      </c>
      <c r="D25" t="s">
        <v>121</v>
      </c>
      <c r="E25" t="s">
        <v>29</v>
      </c>
      <c r="F25">
        <v>1</v>
      </c>
      <c r="G25">
        <v>10</v>
      </c>
      <c r="H25">
        <v>293.3</v>
      </c>
      <c r="I25">
        <v>2933</v>
      </c>
      <c r="K25" s="6">
        <v>4</v>
      </c>
      <c r="L25" s="3">
        <v>2933</v>
      </c>
    </row>
    <row r="26" spans="1:12" x14ac:dyDescent="0.25">
      <c r="A26" t="s">
        <v>122</v>
      </c>
      <c r="B26" t="s">
        <v>123</v>
      </c>
      <c r="C26" t="s">
        <v>124</v>
      </c>
      <c r="D26" t="s">
        <v>121</v>
      </c>
      <c r="E26" t="s">
        <v>52</v>
      </c>
      <c r="F26">
        <v>1</v>
      </c>
      <c r="G26">
        <v>10</v>
      </c>
      <c r="H26">
        <v>85.3</v>
      </c>
      <c r="I26">
        <v>853</v>
      </c>
      <c r="K26" s="6">
        <v>4</v>
      </c>
      <c r="L26" s="3">
        <v>853</v>
      </c>
    </row>
    <row r="27" spans="1:12" x14ac:dyDescent="0.25">
      <c r="A27" t="s">
        <v>125</v>
      </c>
      <c r="B27" t="s">
        <v>126</v>
      </c>
      <c r="C27" s="10" t="s">
        <v>127</v>
      </c>
      <c r="D27" s="10" t="s">
        <v>128</v>
      </c>
      <c r="E27" s="10" t="s">
        <v>129</v>
      </c>
      <c r="F27" s="10">
        <v>2</v>
      </c>
      <c r="G27" s="10">
        <v>2</v>
      </c>
      <c r="H27">
        <v>900</v>
      </c>
      <c r="I27">
        <v>1800</v>
      </c>
      <c r="J27" t="s">
        <v>111</v>
      </c>
      <c r="K27" s="6">
        <v>8</v>
      </c>
      <c r="L27" s="3"/>
    </row>
    <row r="28" spans="1:12" x14ac:dyDescent="0.25">
      <c r="A28" t="s">
        <v>130</v>
      </c>
      <c r="B28" t="s">
        <v>131</v>
      </c>
      <c r="C28" s="10" t="s">
        <v>132</v>
      </c>
      <c r="D28" s="10" t="s">
        <v>133</v>
      </c>
      <c r="E28" s="10" t="s">
        <v>134</v>
      </c>
      <c r="F28" s="10">
        <v>2</v>
      </c>
      <c r="G28" s="10" t="s">
        <v>135</v>
      </c>
      <c r="K28" s="6">
        <v>8</v>
      </c>
      <c r="L28" s="3"/>
    </row>
    <row r="29" spans="1:12" x14ac:dyDescent="0.25">
      <c r="A29" t="s">
        <v>136</v>
      </c>
      <c r="B29" t="s">
        <v>137</v>
      </c>
      <c r="C29" t="s">
        <v>138</v>
      </c>
      <c r="D29" t="s">
        <v>23</v>
      </c>
      <c r="E29" t="s">
        <v>15</v>
      </c>
      <c r="F29">
        <v>1</v>
      </c>
      <c r="G29">
        <v>10</v>
      </c>
      <c r="H29">
        <v>10</v>
      </c>
      <c r="I29">
        <v>100</v>
      </c>
      <c r="K29" s="6">
        <v>4</v>
      </c>
      <c r="L29" s="3">
        <v>100</v>
      </c>
    </row>
    <row r="30" spans="1:12" x14ac:dyDescent="0.25">
      <c r="A30" t="s">
        <v>139</v>
      </c>
      <c r="B30" t="s">
        <v>140</v>
      </c>
      <c r="C30" t="s">
        <v>141</v>
      </c>
      <c r="D30" t="s">
        <v>142</v>
      </c>
      <c r="E30" t="s">
        <v>143</v>
      </c>
      <c r="F30">
        <v>4</v>
      </c>
      <c r="G30">
        <v>10</v>
      </c>
      <c r="H30">
        <v>5.17</v>
      </c>
      <c r="I30">
        <v>51.7</v>
      </c>
      <c r="K30" s="6">
        <v>16</v>
      </c>
      <c r="L30" s="3">
        <v>82.72</v>
      </c>
    </row>
    <row r="31" spans="1:12" x14ac:dyDescent="0.25">
      <c r="A31" t="s">
        <v>144</v>
      </c>
      <c r="B31" t="s">
        <v>145</v>
      </c>
      <c r="C31" t="s">
        <v>146</v>
      </c>
      <c r="D31" t="s">
        <v>147</v>
      </c>
      <c r="E31" t="s">
        <v>85</v>
      </c>
      <c r="F31">
        <v>1</v>
      </c>
      <c r="G31">
        <v>10</v>
      </c>
      <c r="H31">
        <v>2.8</v>
      </c>
      <c r="I31">
        <v>28</v>
      </c>
      <c r="K31" s="6">
        <v>4</v>
      </c>
      <c r="L31" s="3">
        <v>28</v>
      </c>
    </row>
    <row r="32" spans="1:12" x14ac:dyDescent="0.25">
      <c r="A32" t="s">
        <v>148</v>
      </c>
      <c r="B32" t="s">
        <v>149</v>
      </c>
      <c r="C32" t="s">
        <v>150</v>
      </c>
      <c r="D32" t="s">
        <v>151</v>
      </c>
      <c r="E32" t="s">
        <v>15</v>
      </c>
      <c r="F32">
        <v>1</v>
      </c>
      <c r="G32">
        <v>10</v>
      </c>
      <c r="H32">
        <v>121.4</v>
      </c>
      <c r="I32">
        <v>1214</v>
      </c>
      <c r="K32" s="6">
        <v>4</v>
      </c>
      <c r="L32" s="3">
        <v>1214</v>
      </c>
    </row>
    <row r="33" spans="1:12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>
        <v>1</v>
      </c>
      <c r="G33">
        <v>1</v>
      </c>
      <c r="H33">
        <v>319</v>
      </c>
      <c r="I33">
        <v>319</v>
      </c>
      <c r="K33" s="6">
        <v>4</v>
      </c>
      <c r="L33" s="3">
        <v>1276</v>
      </c>
    </row>
    <row r="34" spans="1:12" x14ac:dyDescent="0.25">
      <c r="A34" t="s">
        <v>157</v>
      </c>
      <c r="B34" t="s">
        <v>158</v>
      </c>
      <c r="C34" t="s">
        <v>154</v>
      </c>
      <c r="D34" t="s">
        <v>155</v>
      </c>
      <c r="E34" t="s">
        <v>156</v>
      </c>
      <c r="F34">
        <v>1</v>
      </c>
      <c r="G34">
        <v>1</v>
      </c>
      <c r="H34">
        <v>319</v>
      </c>
      <c r="I34">
        <v>319</v>
      </c>
      <c r="K34" s="6">
        <v>4</v>
      </c>
      <c r="L34" s="3">
        <v>1276</v>
      </c>
    </row>
    <row r="35" spans="1:12" x14ac:dyDescent="0.25">
      <c r="A35" t="s">
        <v>159</v>
      </c>
      <c r="B35" t="s">
        <v>160</v>
      </c>
      <c r="C35" t="s">
        <v>161</v>
      </c>
      <c r="D35" t="s">
        <v>155</v>
      </c>
      <c r="E35" t="s">
        <v>162</v>
      </c>
      <c r="F35">
        <v>1</v>
      </c>
      <c r="G35">
        <v>1</v>
      </c>
      <c r="H35">
        <v>319</v>
      </c>
      <c r="I35">
        <v>319</v>
      </c>
      <c r="K35" s="6">
        <v>4</v>
      </c>
      <c r="L35" s="3">
        <v>1276</v>
      </c>
    </row>
    <row r="36" spans="1:12" x14ac:dyDescent="0.25">
      <c r="A36" t="s">
        <v>163</v>
      </c>
      <c r="B36" t="s">
        <v>164</v>
      </c>
      <c r="C36" t="s">
        <v>161</v>
      </c>
      <c r="D36" t="s">
        <v>155</v>
      </c>
      <c r="E36" t="s">
        <v>162</v>
      </c>
      <c r="F36">
        <v>1</v>
      </c>
      <c r="G36">
        <v>1</v>
      </c>
      <c r="H36">
        <v>319</v>
      </c>
      <c r="I36">
        <v>319</v>
      </c>
      <c r="K36" s="6">
        <v>4</v>
      </c>
      <c r="L36" s="3">
        <v>1276</v>
      </c>
    </row>
    <row r="37" spans="1:12" x14ac:dyDescent="0.25">
      <c r="A37" t="s">
        <v>165</v>
      </c>
      <c r="B37" t="s">
        <v>166</v>
      </c>
      <c r="C37" t="s">
        <v>167</v>
      </c>
      <c r="D37" t="s">
        <v>168</v>
      </c>
      <c r="E37" t="s">
        <v>15</v>
      </c>
      <c r="F37">
        <v>3</v>
      </c>
      <c r="G37">
        <v>3</v>
      </c>
      <c r="H37">
        <v>113</v>
      </c>
      <c r="I37">
        <v>339</v>
      </c>
      <c r="K37" s="6">
        <v>12</v>
      </c>
      <c r="L37" s="3">
        <v>1356</v>
      </c>
    </row>
    <row r="38" spans="1:12" x14ac:dyDescent="0.25">
      <c r="A38" t="s">
        <v>169</v>
      </c>
      <c r="B38" t="s">
        <v>170</v>
      </c>
      <c r="C38" t="s">
        <v>171</v>
      </c>
      <c r="D38" t="s">
        <v>172</v>
      </c>
      <c r="E38" t="s">
        <v>29</v>
      </c>
      <c r="F38">
        <v>1</v>
      </c>
      <c r="G38">
        <v>10</v>
      </c>
      <c r="H38">
        <v>11</v>
      </c>
      <c r="I38">
        <v>110</v>
      </c>
      <c r="K38" s="6">
        <v>4</v>
      </c>
      <c r="L38" s="3">
        <v>110</v>
      </c>
    </row>
    <row r="39" spans="1:12" x14ac:dyDescent="0.25">
      <c r="A39" t="s">
        <v>173</v>
      </c>
      <c r="B39" t="s">
        <v>36</v>
      </c>
      <c r="C39" t="s">
        <v>37</v>
      </c>
      <c r="D39" t="s">
        <v>38</v>
      </c>
      <c r="E39" t="s">
        <v>39</v>
      </c>
      <c r="F39">
        <v>1</v>
      </c>
      <c r="G39">
        <v>1</v>
      </c>
      <c r="H39">
        <v>244</v>
      </c>
      <c r="I39">
        <v>244</v>
      </c>
      <c r="K39" s="6">
        <v>4</v>
      </c>
      <c r="L39" s="3">
        <v>976</v>
      </c>
    </row>
    <row r="40" spans="1:12" x14ac:dyDescent="0.25">
      <c r="A40" t="s">
        <v>174</v>
      </c>
      <c r="B40" t="s">
        <v>49</v>
      </c>
      <c r="C40" t="s">
        <v>175</v>
      </c>
      <c r="D40" t="s">
        <v>176</v>
      </c>
      <c r="E40" t="s">
        <v>52</v>
      </c>
      <c r="F40">
        <v>2</v>
      </c>
      <c r="G40">
        <v>5</v>
      </c>
      <c r="H40">
        <v>163</v>
      </c>
      <c r="I40">
        <v>815</v>
      </c>
      <c r="K40" s="6">
        <v>8</v>
      </c>
      <c r="L40" s="3">
        <v>1304</v>
      </c>
    </row>
    <row r="41" spans="1:12" x14ac:dyDescent="0.25">
      <c r="A41" t="s">
        <v>177</v>
      </c>
      <c r="B41" t="s">
        <v>178</v>
      </c>
      <c r="C41" t="s">
        <v>179</v>
      </c>
      <c r="D41" t="s">
        <v>180</v>
      </c>
      <c r="E41" t="s">
        <v>85</v>
      </c>
      <c r="F41">
        <v>1</v>
      </c>
      <c r="G41">
        <v>10</v>
      </c>
      <c r="H41">
        <v>6</v>
      </c>
      <c r="I41">
        <v>60</v>
      </c>
      <c r="K41" s="6">
        <v>4</v>
      </c>
      <c r="L41" s="3">
        <v>60</v>
      </c>
    </row>
    <row r="42" spans="1:12" x14ac:dyDescent="0.25">
      <c r="A42" t="s">
        <v>181</v>
      </c>
      <c r="B42" t="s">
        <v>182</v>
      </c>
      <c r="C42" s="10" t="s">
        <v>183</v>
      </c>
      <c r="D42" s="10" t="s">
        <v>184</v>
      </c>
      <c r="E42" s="10" t="s">
        <v>185</v>
      </c>
      <c r="F42" s="10">
        <v>1</v>
      </c>
      <c r="G42" s="10" t="s">
        <v>186</v>
      </c>
      <c r="K42" s="6">
        <v>4</v>
      </c>
      <c r="L42" s="3"/>
    </row>
    <row r="43" spans="1:12" x14ac:dyDescent="0.25">
      <c r="A43" t="s">
        <v>187</v>
      </c>
      <c r="B43" t="s">
        <v>188</v>
      </c>
      <c r="C43" t="s">
        <v>189</v>
      </c>
      <c r="D43" t="s">
        <v>190</v>
      </c>
      <c r="E43" t="s">
        <v>34</v>
      </c>
      <c r="F43">
        <v>1</v>
      </c>
      <c r="G43">
        <v>10</v>
      </c>
      <c r="H43">
        <v>10.4</v>
      </c>
      <c r="I43">
        <v>104</v>
      </c>
      <c r="K43" s="6">
        <v>4</v>
      </c>
      <c r="L43" s="3">
        <v>104</v>
      </c>
    </row>
    <row r="44" spans="1:12" ht="15.75" thickBot="1" x14ac:dyDescent="0.3">
      <c r="A44" t="s">
        <v>191</v>
      </c>
      <c r="B44" t="s">
        <v>192</v>
      </c>
      <c r="C44" t="s">
        <v>193</v>
      </c>
      <c r="D44" t="s">
        <v>194</v>
      </c>
      <c r="E44" t="s">
        <v>15</v>
      </c>
      <c r="F44">
        <v>1</v>
      </c>
      <c r="G44">
        <v>10</v>
      </c>
      <c r="H44">
        <v>135</v>
      </c>
      <c r="I44">
        <v>1350</v>
      </c>
      <c r="K44" s="7">
        <v>4</v>
      </c>
      <c r="L44" s="4">
        <v>1350</v>
      </c>
    </row>
    <row r="45" spans="1:12" ht="15.75" thickBot="1" x14ac:dyDescent="0.3">
      <c r="G45" t="s">
        <v>195</v>
      </c>
      <c r="I45" s="1">
        <v>26099.25</v>
      </c>
      <c r="L45" s="5">
        <f>SUM(L2:L44)</f>
        <v>50280.43</v>
      </c>
    </row>
    <row r="46" spans="1:12" ht="15.75" thickBot="1" x14ac:dyDescent="0.3">
      <c r="A46" s="1" t="s">
        <v>196</v>
      </c>
      <c r="B46" s="2">
        <v>4628</v>
      </c>
      <c r="C46" t="s">
        <v>197</v>
      </c>
      <c r="D46" t="s">
        <v>198</v>
      </c>
      <c r="E46" t="s">
        <v>199</v>
      </c>
    </row>
    <row r="47" spans="1:12" ht="15.75" thickBot="1" x14ac:dyDescent="0.3">
      <c r="C47" s="11" t="s">
        <v>200</v>
      </c>
      <c r="D47" t="s">
        <v>201</v>
      </c>
      <c r="E47" t="s">
        <v>202</v>
      </c>
    </row>
    <row r="48" spans="1:12" ht="15.75" thickBot="1" x14ac:dyDescent="0.3">
      <c r="A48" s="1" t="s">
        <v>203</v>
      </c>
      <c r="B48" s="2">
        <f>C48*400</f>
        <v>73200</v>
      </c>
      <c r="C48">
        <v>183</v>
      </c>
      <c r="D48">
        <v>4</v>
      </c>
      <c r="E48" s="1">
        <f>D48*C48*400</f>
        <v>292800</v>
      </c>
    </row>
    <row r="49" spans="2:8" ht="15.75" thickBot="1" x14ac:dyDescent="0.3">
      <c r="B49" t="s">
        <v>205</v>
      </c>
    </row>
    <row r="50" spans="2:8" ht="15.75" thickBot="1" x14ac:dyDescent="0.3">
      <c r="B50" t="s">
        <v>206</v>
      </c>
      <c r="G50" s="8" t="s">
        <v>204</v>
      </c>
      <c r="H50" s="9">
        <f>L45+B46+E48</f>
        <v>347708.43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SEPIC_A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FIXED-TERM Kardos Milan (ME/EMC5-HU)</cp:lastModifiedBy>
  <dcterms:created xsi:type="dcterms:W3CDTF">2024-06-25T13:21:57Z</dcterms:created>
  <dcterms:modified xsi:type="dcterms:W3CDTF">2024-06-25T13:36:57Z</dcterms:modified>
</cp:coreProperties>
</file>