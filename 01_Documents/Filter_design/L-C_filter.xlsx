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KMI3BP\Documents\SZAKDOLGOZAT\DOKUMENTUMOK\"/>
    </mc:Choice>
  </mc:AlternateContent>
  <xr:revisionPtr revIDLastSave="0" documentId="13_ncr:1_{0CD5C160-DD96-4CA4-8C0D-8FE4884763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S3" i="1"/>
  <c r="R4" i="1"/>
  <c r="R5" i="1"/>
  <c r="R6" i="1"/>
  <c r="R7" i="1"/>
  <c r="R8" i="1"/>
  <c r="R9" i="1"/>
  <c r="R10" i="1"/>
  <c r="S10" i="1" s="1"/>
  <c r="R2" i="1"/>
  <c r="S2" i="1" s="1"/>
  <c r="B23" i="1"/>
  <c r="S14" i="1" s="1"/>
  <c r="S4" i="1"/>
  <c r="S5" i="1"/>
  <c r="S6" i="1"/>
  <c r="S7" i="1"/>
  <c r="S8" i="1"/>
  <c r="S9" i="1"/>
  <c r="S11" i="1"/>
  <c r="S12" i="1"/>
  <c r="S13" i="1"/>
  <c r="S15" i="1"/>
  <c r="S16" i="1"/>
  <c r="S17" i="1"/>
  <c r="S18" i="1"/>
  <c r="S19" i="1"/>
  <c r="B22" i="1"/>
  <c r="B58" i="1"/>
  <c r="B57" i="1"/>
  <c r="B53" i="1"/>
  <c r="B55" i="1" s="1"/>
  <c r="B52" i="1"/>
  <c r="B20" i="1"/>
</calcChain>
</file>

<file path=xl/sharedStrings.xml><?xml version="1.0" encoding="utf-8"?>
<sst xmlns="http://schemas.openxmlformats.org/spreadsheetml/2006/main" count="43" uniqueCount="38">
  <si>
    <t>Power supply input impedance</t>
  </si>
  <si>
    <t>V_in</t>
  </si>
  <si>
    <t>I_out</t>
  </si>
  <si>
    <t>V_out</t>
  </si>
  <si>
    <t>V</t>
  </si>
  <si>
    <t>A</t>
  </si>
  <si>
    <t>Output inductor</t>
  </si>
  <si>
    <t>L_out</t>
  </si>
  <si>
    <t>DC resistance</t>
  </si>
  <si>
    <t>R_L</t>
  </si>
  <si>
    <t>Output capacitor</t>
  </si>
  <si>
    <t>C_out</t>
  </si>
  <si>
    <t>ESR_C_out</t>
  </si>
  <si>
    <t>Duty Cycle</t>
  </si>
  <si>
    <t>Output Impedance</t>
  </si>
  <si>
    <t>uH</t>
  </si>
  <si>
    <t>Ohm</t>
  </si>
  <si>
    <t>uF</t>
  </si>
  <si>
    <t>-</t>
  </si>
  <si>
    <t>R_out</t>
  </si>
  <si>
    <t>f_i</t>
  </si>
  <si>
    <t>w_i</t>
  </si>
  <si>
    <t>s_i</t>
  </si>
  <si>
    <t>Hz</t>
  </si>
  <si>
    <t>Z_i</t>
  </si>
  <si>
    <t>Filter</t>
  </si>
  <si>
    <t>L_f</t>
  </si>
  <si>
    <t>C_f</t>
  </si>
  <si>
    <t>R_d</t>
  </si>
  <si>
    <t>C_d</t>
  </si>
  <si>
    <t>Z_3</t>
  </si>
  <si>
    <t>Z_3-2</t>
  </si>
  <si>
    <t>F_2</t>
  </si>
  <si>
    <t>Z_f2</t>
  </si>
  <si>
    <t>ESR_Cd</t>
  </si>
  <si>
    <t>Z_2</t>
  </si>
  <si>
    <t>Z_1</t>
  </si>
  <si>
    <t>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</si>
</sst>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38100</xdr:rowOff>
    </xdr:from>
    <xdr:to>
      <xdr:col>15</xdr:col>
      <xdr:colOff>19904</xdr:colOff>
      <xdr:row>19</xdr:row>
      <xdr:rowOff>105280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1DC4F75E-37AC-7373-B618-58D9EB975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228600"/>
          <a:ext cx="6115904" cy="3620005"/>
        </a:xfrm>
        <a:prstGeom prst="rect">
          <a:avLst/>
        </a:prstGeom>
      </xdr:spPr>
    </xdr:pic>
    <xdr:clientData/>
  </xdr:twoCellAnchor>
  <xdr:twoCellAnchor editAs="oneCell">
    <xdr:from>
      <xdr:col>4</xdr:col>
      <xdr:colOff>600075</xdr:colOff>
      <xdr:row>19</xdr:row>
      <xdr:rowOff>123825</xdr:rowOff>
    </xdr:from>
    <xdr:to>
      <xdr:col>15</xdr:col>
      <xdr:colOff>124694</xdr:colOff>
      <xdr:row>31</xdr:row>
      <xdr:rowOff>66986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F40BC51F-9B38-9ED6-08B7-58FCBB522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19675" y="3867150"/>
          <a:ext cx="6230219" cy="2229161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590550</xdr:colOff>
      <xdr:row>31</xdr:row>
      <xdr:rowOff>95250</xdr:rowOff>
    </xdr:from>
    <xdr:to>
      <xdr:col>10</xdr:col>
      <xdr:colOff>467218</xdr:colOff>
      <xdr:row>42</xdr:row>
      <xdr:rowOff>66963</xdr:rowOff>
    </xdr:to>
    <xdr:pic>
      <xdr:nvPicPr>
        <xdr:cNvPr id="4" name="Kép 3">
          <a:extLst>
            <a:ext uri="{FF2B5EF4-FFF2-40B4-BE49-F238E27FC236}">
              <a16:creationId xmlns:a16="http://schemas.microsoft.com/office/drawing/2014/main" id="{38340B38-E452-3A02-D579-7FCCF9CAF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10150" y="6124575"/>
          <a:ext cx="3534268" cy="2067213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48</xdr:row>
      <xdr:rowOff>66675</xdr:rowOff>
    </xdr:from>
    <xdr:to>
      <xdr:col>17</xdr:col>
      <xdr:colOff>582038</xdr:colOff>
      <xdr:row>80</xdr:row>
      <xdr:rowOff>854</xdr:rowOff>
    </xdr:to>
    <xdr:pic>
      <xdr:nvPicPr>
        <xdr:cNvPr id="5" name="Kép 4">
          <a:extLst>
            <a:ext uri="{FF2B5EF4-FFF2-40B4-BE49-F238E27FC236}">
              <a16:creationId xmlns:a16="http://schemas.microsoft.com/office/drawing/2014/main" id="{FA0663FD-43BD-6DF3-C323-5AAEB69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67375" y="9334500"/>
          <a:ext cx="7259063" cy="6115904"/>
        </a:xfrm>
        <a:prstGeom prst="rect">
          <a:avLst/>
        </a:prstGeom>
      </xdr:spPr>
    </xdr:pic>
    <xdr:clientData/>
  </xdr:twoCellAnchor>
  <xdr:twoCellAnchor editAs="oneCell">
    <xdr:from>
      <xdr:col>17</xdr:col>
      <xdr:colOff>485775</xdr:colOff>
      <xdr:row>48</xdr:row>
      <xdr:rowOff>19050</xdr:rowOff>
    </xdr:from>
    <xdr:to>
      <xdr:col>28</xdr:col>
      <xdr:colOff>429553</xdr:colOff>
      <xdr:row>73</xdr:row>
      <xdr:rowOff>95937</xdr:rowOff>
    </xdr:to>
    <xdr:pic>
      <xdr:nvPicPr>
        <xdr:cNvPr id="6" name="Kép 5">
          <a:extLst>
            <a:ext uri="{FF2B5EF4-FFF2-40B4-BE49-F238E27FC236}">
              <a16:creationId xmlns:a16="http://schemas.microsoft.com/office/drawing/2014/main" id="{98609276-A09B-6571-06C4-D368B785E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30175" y="9286875"/>
          <a:ext cx="6649378" cy="4925112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82</xdr:row>
      <xdr:rowOff>9525</xdr:rowOff>
    </xdr:from>
    <xdr:to>
      <xdr:col>18</xdr:col>
      <xdr:colOff>162967</xdr:colOff>
      <xdr:row>102</xdr:row>
      <xdr:rowOff>143425</xdr:rowOff>
    </xdr:to>
    <xdr:pic>
      <xdr:nvPicPr>
        <xdr:cNvPr id="7" name="Kép 6">
          <a:extLst>
            <a:ext uri="{FF2B5EF4-FFF2-40B4-BE49-F238E27FC236}">
              <a16:creationId xmlns:a16="http://schemas.microsoft.com/office/drawing/2014/main" id="{0A182C85-B618-1803-1609-7500CA20F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48325" y="15373350"/>
          <a:ext cx="7468642" cy="394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"/>
  <sheetViews>
    <sheetView tabSelected="1" workbookViewId="0">
      <selection activeCell="U7" sqref="U7"/>
    </sheetView>
  </sheetViews>
  <sheetFormatPr defaultRowHeight="15" x14ac:dyDescent="0.25"/>
  <cols>
    <col min="1" max="1" width="38.85546875" customWidth="1"/>
    <col min="2" max="2" width="13.28515625" bestFit="1" customWidth="1"/>
  </cols>
  <sheetData>
    <row r="1" spans="1:19" x14ac:dyDescent="0.25">
      <c r="A1" t="s">
        <v>0</v>
      </c>
      <c r="Q1" t="s">
        <v>37</v>
      </c>
      <c r="R1" t="s">
        <v>22</v>
      </c>
      <c r="S1" t="s">
        <v>24</v>
      </c>
    </row>
    <row r="2" spans="1:19" ht="15.75" thickBot="1" x14ac:dyDescent="0.3">
      <c r="Q2">
        <v>0</v>
      </c>
      <c r="R2">
        <f>2*PI()*Q2</f>
        <v>0</v>
      </c>
      <c r="S2">
        <f>ABS((($B$20+$B$11)/($B$17^2))*((1+R2*($B$8/($B$11+$B$20)+$B$14*($B$15+$B$20*$B$11/($B$20+$B$11)))+R2^2*$B$8*$B$14*($B$20+$B$15)/($B$20+B11)))/(1+R2*($B$20+$B$15)*$B$15))</f>
        <v>23.878263191014664</v>
      </c>
    </row>
    <row r="3" spans="1:19" ht="15.75" thickBot="1" x14ac:dyDescent="0.3">
      <c r="A3" t="s">
        <v>1</v>
      </c>
      <c r="B3" s="1">
        <v>40</v>
      </c>
      <c r="C3" t="s">
        <v>4</v>
      </c>
      <c r="Q3">
        <v>1</v>
      </c>
      <c r="R3">
        <f>2*PI()*1/(Q3*11)</f>
        <v>0.5711986642890533</v>
      </c>
      <c r="S3">
        <f>ABS((($B$20+$B$11)/($B$17^2))*((1+R3*($B$8/($B$11+$B$20)+$B$14*($B$15+$B$20*$B$11/($B$20+$B$11)))+(R3^2)*$B$8*$B$14*($B$20+$B$15)/($B$20+B12)))/(1+R3*($B$20+$B$15)*$B$15))</f>
        <v>28445.953641354005</v>
      </c>
    </row>
    <row r="4" spans="1:19" ht="15.75" thickBot="1" x14ac:dyDescent="0.3">
      <c r="A4" t="s">
        <v>2</v>
      </c>
      <c r="B4" s="1">
        <v>1</v>
      </c>
      <c r="C4" t="s">
        <v>5</v>
      </c>
      <c r="Q4">
        <v>2</v>
      </c>
      <c r="R4">
        <f t="shared" ref="R3:R10" si="0">2*PI()*Q4</f>
        <v>12.566370614359172</v>
      </c>
      <c r="S4">
        <f t="shared" ref="S3:S19" si="1">ABS((($B$20+$B$11)/($B$17^2))*((1+R4*($B$8/($B$11+$B$20)+$B$14*($B$15+$B$20*$B$11/($B$20+$B$11)))+R4^2*$B$8*$B$14*($B$20+$B$15)/($B$20+B13)))/(1+R4*($B$20+$B$15)*$B$15))</f>
        <v>2550600.5426417659</v>
      </c>
    </row>
    <row r="5" spans="1:19" ht="15.75" thickBot="1" x14ac:dyDescent="0.3">
      <c r="A5" t="s">
        <v>3</v>
      </c>
      <c r="B5" s="1">
        <v>5</v>
      </c>
      <c r="C5" t="s">
        <v>4</v>
      </c>
      <c r="Q5">
        <v>3</v>
      </c>
      <c r="R5">
        <f t="shared" si="0"/>
        <v>18.849555921538759</v>
      </c>
      <c r="S5">
        <f t="shared" si="1"/>
        <v>276482.74525640102</v>
      </c>
    </row>
    <row r="6" spans="1:19" x14ac:dyDescent="0.25">
      <c r="Q6">
        <v>4</v>
      </c>
      <c r="R6">
        <f t="shared" si="0"/>
        <v>25.132741228718345</v>
      </c>
      <c r="S6">
        <f t="shared" si="1"/>
        <v>5410530.9558455897</v>
      </c>
    </row>
    <row r="7" spans="1:19" ht="15.75" thickBot="1" x14ac:dyDescent="0.3">
      <c r="A7" t="s">
        <v>6</v>
      </c>
      <c r="R7">
        <f t="shared" si="0"/>
        <v>0</v>
      </c>
      <c r="S7">
        <f t="shared" si="1"/>
        <v>23.878263191014664</v>
      </c>
    </row>
    <row r="8" spans="1:19" ht="15.75" thickBot="1" x14ac:dyDescent="0.3">
      <c r="A8" t="s">
        <v>7</v>
      </c>
      <c r="B8" s="1">
        <v>66</v>
      </c>
      <c r="C8" t="s">
        <v>15</v>
      </c>
      <c r="R8">
        <f t="shared" si="0"/>
        <v>0</v>
      </c>
      <c r="S8">
        <f t="shared" si="1"/>
        <v>23.878263191014664</v>
      </c>
    </row>
    <row r="9" spans="1:19" x14ac:dyDescent="0.25">
      <c r="R9">
        <f t="shared" si="0"/>
        <v>0</v>
      </c>
      <c r="S9">
        <f t="shared" si="1"/>
        <v>23.878263191014664</v>
      </c>
    </row>
    <row r="10" spans="1:19" ht="15.75" thickBot="1" x14ac:dyDescent="0.3">
      <c r="A10" t="s">
        <v>8</v>
      </c>
      <c r="R10">
        <f t="shared" si="0"/>
        <v>0</v>
      </c>
      <c r="S10">
        <f t="shared" si="1"/>
        <v>23.878263191014664</v>
      </c>
    </row>
    <row r="11" spans="1:19" ht="15.75" thickBot="1" x14ac:dyDescent="0.3">
      <c r="A11" t="s">
        <v>9</v>
      </c>
      <c r="B11" s="1">
        <v>8.8000000000000005E-3</v>
      </c>
      <c r="C11" t="s">
        <v>16</v>
      </c>
      <c r="R11">
        <v>9</v>
      </c>
      <c r="S11">
        <f t="shared" si="1"/>
        <v>863306.25341536151</v>
      </c>
    </row>
    <row r="12" spans="1:19" x14ac:dyDescent="0.25">
      <c r="R12">
        <v>10</v>
      </c>
      <c r="S12">
        <f t="shared" si="1"/>
        <v>93938.806750520685</v>
      </c>
    </row>
    <row r="13" spans="1:19" ht="15.75" thickBot="1" x14ac:dyDescent="0.3">
      <c r="A13" t="s">
        <v>10</v>
      </c>
      <c r="R13">
        <v>11</v>
      </c>
      <c r="S13">
        <f t="shared" si="1"/>
        <v>18134.863074533932</v>
      </c>
    </row>
    <row r="14" spans="1:19" ht="15.75" thickBot="1" x14ac:dyDescent="0.3">
      <c r="A14" t="s">
        <v>11</v>
      </c>
      <c r="B14" s="1">
        <v>68</v>
      </c>
      <c r="C14" t="s">
        <v>17</v>
      </c>
      <c r="R14">
        <v>12</v>
      </c>
      <c r="S14">
        <f t="shared" si="1"/>
        <v>3941.0371315658031</v>
      </c>
    </row>
    <row r="15" spans="1:19" ht="15.75" thickBot="1" x14ac:dyDescent="0.3">
      <c r="A15" t="s">
        <v>12</v>
      </c>
      <c r="B15" s="1">
        <v>0.09</v>
      </c>
      <c r="C15" t="s">
        <v>16</v>
      </c>
      <c r="R15">
        <v>13</v>
      </c>
      <c r="S15">
        <f t="shared" si="1"/>
        <v>2651674.4501386196</v>
      </c>
    </row>
    <row r="16" spans="1:19" ht="15.75" thickBot="1" x14ac:dyDescent="0.3">
      <c r="B16" s="3"/>
      <c r="R16">
        <v>14</v>
      </c>
      <c r="S16">
        <f t="shared" si="1"/>
        <v>2885210.7352874116</v>
      </c>
    </row>
    <row r="17" spans="1:19" ht="15.75" thickBot="1" x14ac:dyDescent="0.3">
      <c r="A17" t="s">
        <v>13</v>
      </c>
      <c r="B17" s="1">
        <v>0.45800000000000002</v>
      </c>
      <c r="C17" t="s">
        <v>18</v>
      </c>
      <c r="R17">
        <v>15</v>
      </c>
      <c r="S17">
        <f t="shared" si="1"/>
        <v>3119283.5521234884</v>
      </c>
    </row>
    <row r="18" spans="1:19" x14ac:dyDescent="0.25">
      <c r="R18">
        <v>16</v>
      </c>
      <c r="S18">
        <f t="shared" si="1"/>
        <v>3353804.3783291127</v>
      </c>
    </row>
    <row r="19" spans="1:19" x14ac:dyDescent="0.25">
      <c r="A19" s="4" t="s">
        <v>14</v>
      </c>
      <c r="B19" s="2"/>
      <c r="R19">
        <v>17</v>
      </c>
      <c r="S19">
        <f t="shared" si="1"/>
        <v>3588703.1501473761</v>
      </c>
    </row>
    <row r="20" spans="1:19" x14ac:dyDescent="0.25">
      <c r="A20" t="s">
        <v>19</v>
      </c>
      <c r="B20">
        <f>B5/B4</f>
        <v>5</v>
      </c>
      <c r="C20" t="s">
        <v>16</v>
      </c>
      <c r="R20">
        <v>18</v>
      </c>
    </row>
    <row r="21" spans="1:19" x14ac:dyDescent="0.25">
      <c r="A21" t="s">
        <v>20</v>
      </c>
      <c r="B21">
        <v>100</v>
      </c>
      <c r="C21" t="s">
        <v>23</v>
      </c>
      <c r="R21">
        <v>19</v>
      </c>
    </row>
    <row r="22" spans="1:19" x14ac:dyDescent="0.25">
      <c r="A22" t="s">
        <v>21</v>
      </c>
      <c r="B22">
        <f>B21*6.28</f>
        <v>628</v>
      </c>
      <c r="R22">
        <v>20</v>
      </c>
    </row>
    <row r="23" spans="1:19" x14ac:dyDescent="0.25">
      <c r="A23" t="s">
        <v>22</v>
      </c>
      <c r="B23">
        <f>2*PI()*B22</f>
        <v>3945.84037290878</v>
      </c>
      <c r="R23">
        <v>21</v>
      </c>
    </row>
    <row r="24" spans="1:19" x14ac:dyDescent="0.25">
      <c r="A24" t="s">
        <v>24</v>
      </c>
      <c r="R24">
        <v>22</v>
      </c>
    </row>
    <row r="25" spans="1:19" x14ac:dyDescent="0.25">
      <c r="R25">
        <v>23</v>
      </c>
    </row>
    <row r="26" spans="1:19" x14ac:dyDescent="0.25">
      <c r="R26">
        <v>24</v>
      </c>
    </row>
    <row r="27" spans="1:19" x14ac:dyDescent="0.25">
      <c r="R27">
        <v>25</v>
      </c>
    </row>
    <row r="28" spans="1:19" x14ac:dyDescent="0.25">
      <c r="R28">
        <v>26</v>
      </c>
    </row>
    <row r="29" spans="1:19" x14ac:dyDescent="0.25">
      <c r="R29">
        <v>27</v>
      </c>
    </row>
    <row r="30" spans="1:19" x14ac:dyDescent="0.25">
      <c r="R30">
        <v>28</v>
      </c>
    </row>
    <row r="31" spans="1:19" x14ac:dyDescent="0.25">
      <c r="R31">
        <v>29</v>
      </c>
    </row>
    <row r="32" spans="1:19" x14ac:dyDescent="0.25">
      <c r="R32">
        <v>30</v>
      </c>
    </row>
    <row r="33" spans="18:18" x14ac:dyDescent="0.25">
      <c r="R33">
        <v>31</v>
      </c>
    </row>
    <row r="49" spans="1:2" ht="15.75" thickBot="1" x14ac:dyDescent="0.3">
      <c r="A49" s="4" t="s">
        <v>25</v>
      </c>
    </row>
    <row r="50" spans="1:2" ht="15.75" thickBot="1" x14ac:dyDescent="0.3">
      <c r="A50" t="s">
        <v>26</v>
      </c>
      <c r="B50" s="1"/>
    </row>
    <row r="51" spans="1:2" ht="15.75" thickBot="1" x14ac:dyDescent="0.3">
      <c r="A51" t="s">
        <v>27</v>
      </c>
      <c r="B51" s="1"/>
    </row>
    <row r="52" spans="1:2" x14ac:dyDescent="0.25">
      <c r="A52" t="s">
        <v>28</v>
      </c>
      <c r="B52" t="e">
        <f>SQRT(B50/B51)</f>
        <v>#DIV/0!</v>
      </c>
    </row>
    <row r="53" spans="1:2" ht="15.75" thickBot="1" x14ac:dyDescent="0.3">
      <c r="A53" t="s">
        <v>29</v>
      </c>
      <c r="B53">
        <f>4*B50</f>
        <v>0</v>
      </c>
    </row>
    <row r="54" spans="1:2" ht="15.75" thickBot="1" x14ac:dyDescent="0.3">
      <c r="A54" t="s">
        <v>34</v>
      </c>
      <c r="B54" s="1"/>
    </row>
    <row r="55" spans="1:2" ht="15.75" thickBot="1" x14ac:dyDescent="0.3">
      <c r="A55" t="s">
        <v>30</v>
      </c>
      <c r="B55" t="e">
        <f>1/B53+B54+B52</f>
        <v>#DIV/0!</v>
      </c>
    </row>
    <row r="56" spans="1:2" ht="15.75" thickBot="1" x14ac:dyDescent="0.3">
      <c r="A56" t="s">
        <v>35</v>
      </c>
      <c r="B56" s="1"/>
    </row>
    <row r="57" spans="1:2" x14ac:dyDescent="0.25">
      <c r="A57" t="s">
        <v>31</v>
      </c>
      <c r="B57" t="e">
        <f>(B56*B55)/(B55+B56)</f>
        <v>#DIV/0!</v>
      </c>
    </row>
    <row r="58" spans="1:2" x14ac:dyDescent="0.25">
      <c r="A58" t="s">
        <v>32</v>
      </c>
      <c r="B58" t="e">
        <f>20*LOG(ABS(B57/(B57+B60)),10)</f>
        <v>#DIV/0!</v>
      </c>
    </row>
    <row r="59" spans="1:2" ht="15.75" thickBot="1" x14ac:dyDescent="0.3">
      <c r="A59" t="s">
        <v>33</v>
      </c>
    </row>
    <row r="60" spans="1:2" ht="15.75" thickBot="1" x14ac:dyDescent="0.3">
      <c r="A60" t="s">
        <v>36</v>
      </c>
      <c r="B60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Kardos Milan (ME/EMC5-HU)</dc:creator>
  <cp:lastModifiedBy>FIXED-TERM Kardos Milan (ME/EMC5-HU)</cp:lastModifiedBy>
  <dcterms:created xsi:type="dcterms:W3CDTF">2015-06-05T18:19:34Z</dcterms:created>
  <dcterms:modified xsi:type="dcterms:W3CDTF">2024-08-28T09:07:21Z</dcterms:modified>
</cp:coreProperties>
</file>