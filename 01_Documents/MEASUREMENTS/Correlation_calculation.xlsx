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3BP\Documents\SZAKDOLGOZAT\"/>
    </mc:Choice>
  </mc:AlternateContent>
  <xr:revisionPtr revIDLastSave="0" documentId="13_ncr:1_{CF081912-3899-463C-894F-B38C71368C6B}" xr6:coauthVersionLast="47" xr6:coauthVersionMax="47" xr10:uidLastSave="{00000000-0000-0000-0000-000000000000}"/>
  <bookViews>
    <workbookView xWindow="-9470" yWindow="10740" windowWidth="19420" windowHeight="10420" xr2:uid="{606054BF-15DF-43EC-9290-E29E8C82536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9" i="1"/>
  <c r="M9" i="1"/>
  <c r="N4" i="1"/>
  <c r="O9" i="1"/>
  <c r="O4" i="1"/>
  <c r="M7" i="1"/>
  <c r="M8" i="1"/>
  <c r="N8" i="1"/>
  <c r="N7" i="1"/>
  <c r="Q3" i="1"/>
  <c r="S3" i="1" s="1"/>
  <c r="R3" i="1"/>
  <c r="Q4" i="1"/>
  <c r="S4" i="1" s="1"/>
  <c r="R4" i="1"/>
  <c r="T4" i="1" s="1"/>
  <c r="Q5" i="1"/>
  <c r="R5" i="1"/>
  <c r="Q6" i="1"/>
  <c r="R6" i="1"/>
  <c r="T6" i="1" s="1"/>
  <c r="Q7" i="1"/>
  <c r="S7" i="1" s="1"/>
  <c r="R7" i="1"/>
  <c r="Q8" i="1"/>
  <c r="S8" i="1" s="1"/>
  <c r="R8" i="1"/>
  <c r="T8" i="1" s="1"/>
  <c r="Q9" i="1"/>
  <c r="R9" i="1"/>
  <c r="Q10" i="1"/>
  <c r="S10" i="1" s="1"/>
  <c r="R10" i="1"/>
  <c r="T10" i="1" s="1"/>
  <c r="Q11" i="1"/>
  <c r="S11" i="1" s="1"/>
  <c r="R11" i="1"/>
  <c r="T11" i="1" s="1"/>
  <c r="Q12" i="1"/>
  <c r="R12" i="1"/>
  <c r="T12" i="1" s="1"/>
  <c r="Q13" i="1"/>
  <c r="R13" i="1"/>
  <c r="Q14" i="1"/>
  <c r="R14" i="1"/>
  <c r="T14" i="1" s="1"/>
  <c r="Q15" i="1"/>
  <c r="S15" i="1" s="1"/>
  <c r="R15" i="1"/>
  <c r="T15" i="1" s="1"/>
  <c r="Q16" i="1"/>
  <c r="R16" i="1"/>
  <c r="T16" i="1" s="1"/>
  <c r="Q17" i="1"/>
  <c r="R17" i="1"/>
  <c r="Q18" i="1"/>
  <c r="R18" i="1"/>
  <c r="T18" i="1" s="1"/>
  <c r="Q19" i="1"/>
  <c r="R19" i="1"/>
  <c r="T19" i="1" s="1"/>
  <c r="Q20" i="1"/>
  <c r="R20" i="1"/>
  <c r="T20" i="1" s="1"/>
  <c r="Q21" i="1"/>
  <c r="R21" i="1"/>
  <c r="Q22" i="1"/>
  <c r="S22" i="1" s="1"/>
  <c r="R22" i="1"/>
  <c r="T22" i="1" s="1"/>
  <c r="Q23" i="1"/>
  <c r="S23" i="1" s="1"/>
  <c r="R23" i="1"/>
  <c r="Q24" i="1"/>
  <c r="S24" i="1" s="1"/>
  <c r="R24" i="1"/>
  <c r="T24" i="1" s="1"/>
  <c r="Q25" i="1"/>
  <c r="R25" i="1"/>
  <c r="Q26" i="1"/>
  <c r="R26" i="1"/>
  <c r="T26" i="1" s="1"/>
  <c r="Q27" i="1"/>
  <c r="S27" i="1" s="1"/>
  <c r="R27" i="1"/>
  <c r="T27" i="1" s="1"/>
  <c r="Q28" i="1"/>
  <c r="R28" i="1"/>
  <c r="T28" i="1" s="1"/>
  <c r="Q29" i="1"/>
  <c r="R29" i="1"/>
  <c r="Q30" i="1"/>
  <c r="S30" i="1" s="1"/>
  <c r="R30" i="1"/>
  <c r="T30" i="1" s="1"/>
  <c r="Q31" i="1"/>
  <c r="R31" i="1"/>
  <c r="T31" i="1" s="1"/>
  <c r="Q32" i="1"/>
  <c r="S32" i="1" s="1"/>
  <c r="R32" i="1"/>
  <c r="T32" i="1" s="1"/>
  <c r="Q33" i="1"/>
  <c r="R33" i="1"/>
  <c r="Q34" i="1"/>
  <c r="S34" i="1" s="1"/>
  <c r="R34" i="1"/>
  <c r="T34" i="1" s="1"/>
  <c r="Q35" i="1"/>
  <c r="S35" i="1" s="1"/>
  <c r="R35" i="1"/>
  <c r="T35" i="1" s="1"/>
  <c r="Q36" i="1"/>
  <c r="R36" i="1"/>
  <c r="T36" i="1" s="1"/>
  <c r="Q37" i="1"/>
  <c r="R37" i="1"/>
  <c r="Q38" i="1"/>
  <c r="S38" i="1" s="1"/>
  <c r="R38" i="1"/>
  <c r="T38" i="1" s="1"/>
  <c r="Q39" i="1"/>
  <c r="S39" i="1" s="1"/>
  <c r="R39" i="1"/>
  <c r="T39" i="1" s="1"/>
  <c r="Q40" i="1"/>
  <c r="R40" i="1"/>
  <c r="T40" i="1" s="1"/>
  <c r="Q41" i="1"/>
  <c r="R41" i="1"/>
  <c r="Q42" i="1"/>
  <c r="S42" i="1" s="1"/>
  <c r="R42" i="1"/>
  <c r="T42" i="1" s="1"/>
  <c r="Q43" i="1"/>
  <c r="S43" i="1" s="1"/>
  <c r="R43" i="1"/>
  <c r="T43" i="1" s="1"/>
  <c r="Q44" i="1"/>
  <c r="S44" i="1" s="1"/>
  <c r="R44" i="1"/>
  <c r="T44" i="1" s="1"/>
  <c r="Q45" i="1"/>
  <c r="R45" i="1"/>
  <c r="Q46" i="1"/>
  <c r="S46" i="1" s="1"/>
  <c r="R46" i="1"/>
  <c r="T46" i="1" s="1"/>
  <c r="Q47" i="1"/>
  <c r="S47" i="1" s="1"/>
  <c r="R47" i="1"/>
  <c r="T47" i="1" s="1"/>
  <c r="Q48" i="1"/>
  <c r="S48" i="1" s="1"/>
  <c r="R48" i="1"/>
  <c r="T48" i="1" s="1"/>
  <c r="Q49" i="1"/>
  <c r="R49" i="1"/>
  <c r="Q50" i="1"/>
  <c r="R50" i="1"/>
  <c r="T50" i="1" s="1"/>
  <c r="Q51" i="1"/>
  <c r="S51" i="1" s="1"/>
  <c r="R51" i="1"/>
  <c r="T51" i="1" s="1"/>
  <c r="Q52" i="1"/>
  <c r="S52" i="1" s="1"/>
  <c r="R52" i="1"/>
  <c r="T52" i="1" s="1"/>
  <c r="Q53" i="1"/>
  <c r="R53" i="1"/>
  <c r="Q54" i="1"/>
  <c r="S54" i="1" s="1"/>
  <c r="R54" i="1"/>
  <c r="T54" i="1" s="1"/>
  <c r="Q55" i="1"/>
  <c r="S55" i="1" s="1"/>
  <c r="R55" i="1"/>
  <c r="T55" i="1" s="1"/>
  <c r="Q56" i="1"/>
  <c r="S56" i="1" s="1"/>
  <c r="R56" i="1"/>
  <c r="T56" i="1" s="1"/>
  <c r="Q57" i="1"/>
  <c r="R57" i="1"/>
  <c r="Q58" i="1"/>
  <c r="S58" i="1" s="1"/>
  <c r="R58" i="1"/>
  <c r="T58" i="1" s="1"/>
  <c r="Q59" i="1"/>
  <c r="S59" i="1" s="1"/>
  <c r="R59" i="1"/>
  <c r="T59" i="1" s="1"/>
  <c r="Q60" i="1"/>
  <c r="S60" i="1" s="1"/>
  <c r="R60" i="1"/>
  <c r="T60" i="1" s="1"/>
  <c r="Q61" i="1"/>
  <c r="R61" i="1"/>
  <c r="Q62" i="1"/>
  <c r="S62" i="1" s="1"/>
  <c r="R62" i="1"/>
  <c r="T62" i="1" s="1"/>
  <c r="Q63" i="1"/>
  <c r="S63" i="1" s="1"/>
  <c r="R63" i="1"/>
  <c r="T63" i="1" s="1"/>
  <c r="Q64" i="1"/>
  <c r="S64" i="1" s="1"/>
  <c r="R64" i="1"/>
  <c r="T64" i="1" s="1"/>
  <c r="Q65" i="1"/>
  <c r="R65" i="1"/>
  <c r="Q66" i="1"/>
  <c r="S66" i="1" s="1"/>
  <c r="R66" i="1"/>
  <c r="T66" i="1" s="1"/>
  <c r="Q67" i="1"/>
  <c r="S67" i="1" s="1"/>
  <c r="R67" i="1"/>
  <c r="T67" i="1" s="1"/>
  <c r="Q68" i="1"/>
  <c r="S68" i="1" s="1"/>
  <c r="R68" i="1"/>
  <c r="T68" i="1" s="1"/>
  <c r="Q69" i="1"/>
  <c r="R69" i="1"/>
  <c r="Q70" i="1"/>
  <c r="S70" i="1" s="1"/>
  <c r="R70" i="1"/>
  <c r="T70" i="1" s="1"/>
  <c r="Q71" i="1"/>
  <c r="S71" i="1" s="1"/>
  <c r="R71" i="1"/>
  <c r="T71" i="1" s="1"/>
  <c r="Q72" i="1"/>
  <c r="S72" i="1" s="1"/>
  <c r="R72" i="1"/>
  <c r="T72" i="1" s="1"/>
  <c r="Q73" i="1"/>
  <c r="S73" i="1" s="1"/>
  <c r="R73" i="1"/>
  <c r="Q74" i="1"/>
  <c r="S74" i="1" s="1"/>
  <c r="R74" i="1"/>
  <c r="T74" i="1" s="1"/>
  <c r="Q75" i="1"/>
  <c r="S75" i="1" s="1"/>
  <c r="R75" i="1"/>
  <c r="Q76" i="1"/>
  <c r="S76" i="1" s="1"/>
  <c r="R76" i="1"/>
  <c r="T76" i="1" s="1"/>
  <c r="Q77" i="1"/>
  <c r="S77" i="1" s="1"/>
  <c r="R77" i="1"/>
  <c r="Q78" i="1"/>
  <c r="S78" i="1" s="1"/>
  <c r="R78" i="1"/>
  <c r="T78" i="1" s="1"/>
  <c r="Q79" i="1"/>
  <c r="R79" i="1"/>
  <c r="T79" i="1" s="1"/>
  <c r="Q80" i="1"/>
  <c r="S80" i="1" s="1"/>
  <c r="R80" i="1"/>
  <c r="T80" i="1" s="1"/>
  <c r="Q81" i="1"/>
  <c r="R81" i="1"/>
  <c r="Q82" i="1"/>
  <c r="S82" i="1" s="1"/>
  <c r="R82" i="1"/>
  <c r="T82" i="1" s="1"/>
  <c r="Q83" i="1"/>
  <c r="S83" i="1" s="1"/>
  <c r="R83" i="1"/>
  <c r="T83" i="1" s="1"/>
  <c r="Q84" i="1"/>
  <c r="S84" i="1" s="1"/>
  <c r="R84" i="1"/>
  <c r="T84" i="1" s="1"/>
  <c r="Q85" i="1"/>
  <c r="S85" i="1" s="1"/>
  <c r="R85" i="1"/>
  <c r="Q86" i="1"/>
  <c r="S86" i="1" s="1"/>
  <c r="R86" i="1"/>
  <c r="T86" i="1" s="1"/>
  <c r="Q87" i="1"/>
  <c r="S87" i="1" s="1"/>
  <c r="R87" i="1"/>
  <c r="T87" i="1" s="1"/>
  <c r="Q88" i="1"/>
  <c r="S88" i="1" s="1"/>
  <c r="R88" i="1"/>
  <c r="T88" i="1" s="1"/>
  <c r="Q89" i="1"/>
  <c r="S89" i="1" s="1"/>
  <c r="R89" i="1"/>
  <c r="Q90" i="1"/>
  <c r="S90" i="1" s="1"/>
  <c r="R90" i="1"/>
  <c r="T90" i="1" s="1"/>
  <c r="Q91" i="1"/>
  <c r="S91" i="1" s="1"/>
  <c r="R91" i="1"/>
  <c r="T91" i="1" s="1"/>
  <c r="Q92" i="1"/>
  <c r="S92" i="1" s="1"/>
  <c r="R92" i="1"/>
  <c r="T92" i="1" s="1"/>
  <c r="Q93" i="1"/>
  <c r="R93" i="1"/>
  <c r="Q94" i="1"/>
  <c r="S94" i="1" s="1"/>
  <c r="R94" i="1"/>
  <c r="T94" i="1" s="1"/>
  <c r="Q95" i="1"/>
  <c r="S95" i="1" s="1"/>
  <c r="R95" i="1"/>
  <c r="T95" i="1" s="1"/>
  <c r="Q96" i="1"/>
  <c r="S96" i="1" s="1"/>
  <c r="R96" i="1"/>
  <c r="T96" i="1" s="1"/>
  <c r="Q97" i="1"/>
  <c r="S97" i="1" s="1"/>
  <c r="R97" i="1"/>
  <c r="Q98" i="1"/>
  <c r="S98" i="1" s="1"/>
  <c r="R98" i="1"/>
  <c r="T98" i="1" s="1"/>
  <c r="Q99" i="1"/>
  <c r="S99" i="1" s="1"/>
  <c r="R99" i="1"/>
  <c r="T99" i="1" s="1"/>
  <c r="Q100" i="1"/>
  <c r="S100" i="1" s="1"/>
  <c r="R100" i="1"/>
  <c r="T100" i="1" s="1"/>
  <c r="Q101" i="1"/>
  <c r="R101" i="1"/>
  <c r="Q102" i="1"/>
  <c r="S102" i="1" s="1"/>
  <c r="R102" i="1"/>
  <c r="T102" i="1" s="1"/>
  <c r="Q103" i="1"/>
  <c r="S103" i="1" s="1"/>
  <c r="R103" i="1"/>
  <c r="Q104" i="1"/>
  <c r="S104" i="1" s="1"/>
  <c r="R104" i="1"/>
  <c r="T104" i="1" s="1"/>
  <c r="Q105" i="1"/>
  <c r="S105" i="1" s="1"/>
  <c r="R105" i="1"/>
  <c r="Q106" i="1"/>
  <c r="S106" i="1" s="1"/>
  <c r="R106" i="1"/>
  <c r="T106" i="1" s="1"/>
  <c r="Q107" i="1"/>
  <c r="S107" i="1" s="1"/>
  <c r="R107" i="1"/>
  <c r="T107" i="1" s="1"/>
  <c r="Q108" i="1"/>
  <c r="S108" i="1" s="1"/>
  <c r="R108" i="1"/>
  <c r="T108" i="1" s="1"/>
  <c r="Q109" i="1"/>
  <c r="S109" i="1" s="1"/>
  <c r="R109" i="1"/>
  <c r="Q110" i="1"/>
  <c r="S110" i="1" s="1"/>
  <c r="R110" i="1"/>
  <c r="T110" i="1" s="1"/>
  <c r="Q111" i="1"/>
  <c r="S111" i="1" s="1"/>
  <c r="R111" i="1"/>
  <c r="T111" i="1" s="1"/>
  <c r="Q112" i="1"/>
  <c r="S112" i="1" s="1"/>
  <c r="R112" i="1"/>
  <c r="T112" i="1" s="1"/>
  <c r="Q113" i="1"/>
  <c r="R113" i="1"/>
  <c r="Q114" i="1"/>
  <c r="S114" i="1" s="1"/>
  <c r="R114" i="1"/>
  <c r="T114" i="1" s="1"/>
  <c r="Q115" i="1"/>
  <c r="S115" i="1" s="1"/>
  <c r="R115" i="1"/>
  <c r="T115" i="1" s="1"/>
  <c r="Q116" i="1"/>
  <c r="S116" i="1" s="1"/>
  <c r="R116" i="1"/>
  <c r="T116" i="1" s="1"/>
  <c r="Q117" i="1"/>
  <c r="S117" i="1" s="1"/>
  <c r="R117" i="1"/>
  <c r="Q118" i="1"/>
  <c r="S118" i="1" s="1"/>
  <c r="R118" i="1"/>
  <c r="T118" i="1" s="1"/>
  <c r="Q119" i="1"/>
  <c r="S119" i="1" s="1"/>
  <c r="R119" i="1"/>
  <c r="T119" i="1" s="1"/>
  <c r="Q120" i="1"/>
  <c r="S120" i="1" s="1"/>
  <c r="R120" i="1"/>
  <c r="T120" i="1" s="1"/>
  <c r="Q121" i="1"/>
  <c r="S121" i="1" s="1"/>
  <c r="R121" i="1"/>
  <c r="Q122" i="1"/>
  <c r="S122" i="1" s="1"/>
  <c r="R122" i="1"/>
  <c r="T122" i="1" s="1"/>
  <c r="Q123" i="1"/>
  <c r="S123" i="1" s="1"/>
  <c r="R123" i="1"/>
  <c r="T123" i="1" s="1"/>
  <c r="Q124" i="1"/>
  <c r="S124" i="1" s="1"/>
  <c r="R124" i="1"/>
  <c r="T124" i="1" s="1"/>
  <c r="Q125" i="1"/>
  <c r="S125" i="1" s="1"/>
  <c r="R125" i="1"/>
  <c r="Q126" i="1"/>
  <c r="S126" i="1" s="1"/>
  <c r="R126" i="1"/>
  <c r="T126" i="1" s="1"/>
  <c r="Q127" i="1"/>
  <c r="S127" i="1" s="1"/>
  <c r="R127" i="1"/>
  <c r="T127" i="1" s="1"/>
  <c r="Q128" i="1"/>
  <c r="S128" i="1" s="1"/>
  <c r="R128" i="1"/>
  <c r="T128" i="1" s="1"/>
  <c r="Q129" i="1"/>
  <c r="R129" i="1"/>
  <c r="Q130" i="1"/>
  <c r="S130" i="1" s="1"/>
  <c r="R130" i="1"/>
  <c r="T130" i="1" s="1"/>
  <c r="Q131" i="1"/>
  <c r="S131" i="1" s="1"/>
  <c r="R131" i="1"/>
  <c r="T131" i="1" s="1"/>
  <c r="Q132" i="1"/>
  <c r="S132" i="1" s="1"/>
  <c r="R132" i="1"/>
  <c r="T132" i="1" s="1"/>
  <c r="Q133" i="1"/>
  <c r="R133" i="1"/>
  <c r="Q134" i="1"/>
  <c r="S134" i="1" s="1"/>
  <c r="R134" i="1"/>
  <c r="T134" i="1" s="1"/>
  <c r="Q135" i="1"/>
  <c r="S135" i="1" s="1"/>
  <c r="R135" i="1"/>
  <c r="T135" i="1" s="1"/>
  <c r="Q136" i="1"/>
  <c r="S136" i="1" s="1"/>
  <c r="R136" i="1"/>
  <c r="T136" i="1" s="1"/>
  <c r="Q137" i="1"/>
  <c r="R137" i="1"/>
  <c r="T137" i="1" s="1"/>
  <c r="Q138" i="1"/>
  <c r="S138" i="1" s="1"/>
  <c r="R138" i="1"/>
  <c r="T138" i="1" s="1"/>
  <c r="Q139" i="1"/>
  <c r="S139" i="1" s="1"/>
  <c r="R139" i="1"/>
  <c r="T139" i="1" s="1"/>
  <c r="R2" i="1"/>
  <c r="T2" i="1" s="1"/>
  <c r="S18" i="1"/>
  <c r="S31" i="1"/>
  <c r="S79" i="1"/>
  <c r="S129" i="1"/>
  <c r="S137" i="1"/>
  <c r="Q2" i="1"/>
  <c r="S2" i="1" s="1"/>
  <c r="S9" i="1"/>
  <c r="S17" i="1"/>
  <c r="S25" i="1"/>
  <c r="S33" i="1"/>
  <c r="S41" i="1"/>
  <c r="S49" i="1"/>
  <c r="S50" i="1"/>
  <c r="S57" i="1"/>
  <c r="S81" i="1"/>
  <c r="S26" i="1"/>
  <c r="S28" i="1"/>
  <c r="S29" i="1"/>
  <c r="S45" i="1"/>
  <c r="S61" i="1"/>
  <c r="S65" i="1"/>
  <c r="S69" i="1"/>
  <c r="S93" i="1"/>
  <c r="S101" i="1"/>
  <c r="S113" i="1"/>
  <c r="S133" i="1"/>
  <c r="S6" i="1"/>
  <c r="S14" i="1"/>
  <c r="T5" i="1"/>
  <c r="T9" i="1"/>
  <c r="S13" i="1"/>
  <c r="T13" i="1"/>
  <c r="S20" i="1"/>
  <c r="T21" i="1"/>
  <c r="T25" i="1"/>
  <c r="T33" i="1"/>
  <c r="S36" i="1"/>
  <c r="T37" i="1"/>
  <c r="T49" i="1"/>
  <c r="T53" i="1"/>
  <c r="T57" i="1"/>
  <c r="T65" i="1"/>
  <c r="T69" i="1"/>
  <c r="T73" i="1"/>
  <c r="T77" i="1"/>
  <c r="T81" i="1"/>
  <c r="T89" i="1"/>
  <c r="T93" i="1"/>
  <c r="T105" i="1"/>
  <c r="T113" i="1"/>
  <c r="T117" i="1"/>
  <c r="T125" i="1"/>
  <c r="T129" i="1"/>
  <c r="S16" i="1"/>
  <c r="S40" i="1"/>
  <c r="S37" i="1"/>
  <c r="T17" i="1"/>
  <c r="S19" i="1"/>
  <c r="S21" i="1"/>
  <c r="T23" i="1"/>
  <c r="T29" i="1"/>
  <c r="T41" i="1"/>
  <c r="T45" i="1"/>
  <c r="S53" i="1"/>
  <c r="T61" i="1"/>
  <c r="T75" i="1"/>
  <c r="T85" i="1"/>
  <c r="T97" i="1"/>
  <c r="T101" i="1"/>
  <c r="T103" i="1"/>
  <c r="T109" i="1"/>
  <c r="T121" i="1"/>
  <c r="T133" i="1"/>
  <c r="T3" i="1"/>
  <c r="S5" i="1"/>
  <c r="T7" i="1"/>
  <c r="S12" i="1"/>
  <c r="N3" i="1"/>
  <c r="N2" i="1"/>
  <c r="M3" i="1"/>
  <c r="M2" i="1"/>
  <c r="C64" i="1"/>
  <c r="E64" i="1" s="1"/>
  <c r="D64" i="1"/>
  <c r="F64" i="1" s="1"/>
  <c r="C65" i="1"/>
  <c r="E65" i="1" s="1"/>
  <c r="D65" i="1"/>
  <c r="F65" i="1" s="1"/>
  <c r="C66" i="1"/>
  <c r="E66" i="1" s="1"/>
  <c r="D66" i="1"/>
  <c r="F66" i="1" s="1"/>
  <c r="C67" i="1"/>
  <c r="E67" i="1" s="1"/>
  <c r="D67" i="1"/>
  <c r="F67" i="1" s="1"/>
  <c r="C68" i="1"/>
  <c r="E68" i="1" s="1"/>
  <c r="D68" i="1"/>
  <c r="F68" i="1" s="1"/>
  <c r="C69" i="1"/>
  <c r="E69" i="1" s="1"/>
  <c r="D69" i="1"/>
  <c r="F69" i="1" s="1"/>
  <c r="C70" i="1"/>
  <c r="E70" i="1" s="1"/>
  <c r="D70" i="1"/>
  <c r="F70" i="1" s="1"/>
  <c r="C71" i="1"/>
  <c r="E71" i="1" s="1"/>
  <c r="D71" i="1"/>
  <c r="F71" i="1" s="1"/>
  <c r="C72" i="1"/>
  <c r="E72" i="1" s="1"/>
  <c r="D72" i="1"/>
  <c r="F72" i="1" s="1"/>
  <c r="C73" i="1"/>
  <c r="E73" i="1" s="1"/>
  <c r="D73" i="1"/>
  <c r="F73" i="1" s="1"/>
  <c r="C74" i="1"/>
  <c r="E74" i="1" s="1"/>
  <c r="D74" i="1"/>
  <c r="F74" i="1" s="1"/>
  <c r="C75" i="1"/>
  <c r="E75" i="1" s="1"/>
  <c r="D75" i="1"/>
  <c r="F75" i="1" s="1"/>
  <c r="C76" i="1"/>
  <c r="E76" i="1" s="1"/>
  <c r="D76" i="1"/>
  <c r="F76" i="1" s="1"/>
  <c r="C77" i="1"/>
  <c r="E77" i="1" s="1"/>
  <c r="D77" i="1"/>
  <c r="F77" i="1" s="1"/>
  <c r="C78" i="1"/>
  <c r="E78" i="1" s="1"/>
  <c r="D78" i="1"/>
  <c r="F78" i="1" s="1"/>
  <c r="C79" i="1"/>
  <c r="E79" i="1" s="1"/>
  <c r="D79" i="1"/>
  <c r="F79" i="1" s="1"/>
  <c r="C80" i="1"/>
  <c r="E80" i="1" s="1"/>
  <c r="D80" i="1"/>
  <c r="F80" i="1" s="1"/>
  <c r="C81" i="1"/>
  <c r="E81" i="1" s="1"/>
  <c r="D81" i="1"/>
  <c r="F81" i="1" s="1"/>
  <c r="C82" i="1"/>
  <c r="E82" i="1" s="1"/>
  <c r="D82" i="1"/>
  <c r="F82" i="1" s="1"/>
  <c r="C83" i="1"/>
  <c r="E83" i="1" s="1"/>
  <c r="D83" i="1"/>
  <c r="F83" i="1" s="1"/>
  <c r="C84" i="1"/>
  <c r="E84" i="1" s="1"/>
  <c r="D84" i="1"/>
  <c r="F84" i="1" s="1"/>
  <c r="C85" i="1"/>
  <c r="E85" i="1" s="1"/>
  <c r="D85" i="1"/>
  <c r="F85" i="1" s="1"/>
  <c r="C86" i="1"/>
  <c r="E86" i="1" s="1"/>
  <c r="D86" i="1"/>
  <c r="F86" i="1" s="1"/>
  <c r="C87" i="1"/>
  <c r="E87" i="1" s="1"/>
  <c r="D87" i="1"/>
  <c r="F87" i="1" s="1"/>
  <c r="C88" i="1"/>
  <c r="E88" i="1" s="1"/>
  <c r="D88" i="1"/>
  <c r="F88" i="1" s="1"/>
  <c r="C89" i="1"/>
  <c r="E89" i="1" s="1"/>
  <c r="D89" i="1"/>
  <c r="F89" i="1" s="1"/>
  <c r="C90" i="1"/>
  <c r="E90" i="1" s="1"/>
  <c r="D90" i="1"/>
  <c r="F90" i="1" s="1"/>
  <c r="C91" i="1"/>
  <c r="E91" i="1" s="1"/>
  <c r="D91" i="1"/>
  <c r="F91" i="1" s="1"/>
  <c r="C92" i="1"/>
  <c r="E92" i="1" s="1"/>
  <c r="D92" i="1"/>
  <c r="F92" i="1" s="1"/>
  <c r="C93" i="1"/>
  <c r="E93" i="1" s="1"/>
  <c r="D93" i="1"/>
  <c r="F93" i="1" s="1"/>
  <c r="C94" i="1"/>
  <c r="E94" i="1" s="1"/>
  <c r="D94" i="1"/>
  <c r="F94" i="1" s="1"/>
  <c r="C95" i="1"/>
  <c r="E95" i="1" s="1"/>
  <c r="D95" i="1"/>
  <c r="F95" i="1" s="1"/>
  <c r="C96" i="1"/>
  <c r="E96" i="1" s="1"/>
  <c r="D96" i="1"/>
  <c r="F96" i="1" s="1"/>
  <c r="C97" i="1"/>
  <c r="E97" i="1" s="1"/>
  <c r="D97" i="1"/>
  <c r="F97" i="1" s="1"/>
  <c r="C98" i="1"/>
  <c r="E98" i="1" s="1"/>
  <c r="D98" i="1"/>
  <c r="F98" i="1" s="1"/>
  <c r="C99" i="1"/>
  <c r="E99" i="1" s="1"/>
  <c r="D99" i="1"/>
  <c r="F99" i="1" s="1"/>
  <c r="C100" i="1"/>
  <c r="E100" i="1" s="1"/>
  <c r="D100" i="1"/>
  <c r="F100" i="1" s="1"/>
  <c r="C101" i="1"/>
  <c r="E101" i="1" s="1"/>
  <c r="D101" i="1"/>
  <c r="F101" i="1" s="1"/>
  <c r="C102" i="1"/>
  <c r="E102" i="1" s="1"/>
  <c r="D102" i="1"/>
  <c r="F102" i="1" s="1"/>
  <c r="C103" i="1"/>
  <c r="E103" i="1" s="1"/>
  <c r="D103" i="1"/>
  <c r="F103" i="1" s="1"/>
  <c r="C104" i="1"/>
  <c r="E104" i="1" s="1"/>
  <c r="D104" i="1"/>
  <c r="F104" i="1" s="1"/>
  <c r="C105" i="1"/>
  <c r="E105" i="1" s="1"/>
  <c r="D105" i="1"/>
  <c r="F105" i="1" s="1"/>
  <c r="C106" i="1"/>
  <c r="E106" i="1" s="1"/>
  <c r="D106" i="1"/>
  <c r="F106" i="1" s="1"/>
  <c r="C107" i="1"/>
  <c r="E107" i="1" s="1"/>
  <c r="D107" i="1"/>
  <c r="F107" i="1" s="1"/>
  <c r="C108" i="1"/>
  <c r="E108" i="1" s="1"/>
  <c r="D108" i="1"/>
  <c r="F108" i="1" s="1"/>
  <c r="C109" i="1"/>
  <c r="E109" i="1" s="1"/>
  <c r="D109" i="1"/>
  <c r="F109" i="1" s="1"/>
  <c r="C110" i="1"/>
  <c r="E110" i="1" s="1"/>
  <c r="D110" i="1"/>
  <c r="F110" i="1" s="1"/>
  <c r="C111" i="1"/>
  <c r="E111" i="1" s="1"/>
  <c r="D111" i="1"/>
  <c r="F111" i="1" s="1"/>
  <c r="C112" i="1"/>
  <c r="E112" i="1" s="1"/>
  <c r="D112" i="1"/>
  <c r="F112" i="1" s="1"/>
  <c r="C113" i="1"/>
  <c r="E113" i="1" s="1"/>
  <c r="D113" i="1"/>
  <c r="F113" i="1" s="1"/>
  <c r="C114" i="1"/>
  <c r="E114" i="1" s="1"/>
  <c r="D114" i="1"/>
  <c r="F114" i="1" s="1"/>
  <c r="C115" i="1"/>
  <c r="E115" i="1" s="1"/>
  <c r="D115" i="1"/>
  <c r="F115" i="1" s="1"/>
  <c r="C116" i="1"/>
  <c r="E116" i="1" s="1"/>
  <c r="D116" i="1"/>
  <c r="F116" i="1" s="1"/>
  <c r="C117" i="1"/>
  <c r="E117" i="1" s="1"/>
  <c r="D117" i="1"/>
  <c r="F117" i="1" s="1"/>
  <c r="C118" i="1"/>
  <c r="E118" i="1" s="1"/>
  <c r="D118" i="1"/>
  <c r="F118" i="1" s="1"/>
  <c r="C119" i="1"/>
  <c r="E119" i="1" s="1"/>
  <c r="D119" i="1"/>
  <c r="F119" i="1" s="1"/>
  <c r="C120" i="1"/>
  <c r="E120" i="1" s="1"/>
  <c r="D120" i="1"/>
  <c r="F120" i="1" s="1"/>
  <c r="C121" i="1"/>
  <c r="E121" i="1" s="1"/>
  <c r="D121" i="1"/>
  <c r="F121" i="1" s="1"/>
  <c r="C122" i="1"/>
  <c r="E122" i="1" s="1"/>
  <c r="D122" i="1"/>
  <c r="F122" i="1" s="1"/>
  <c r="C123" i="1"/>
  <c r="E123" i="1" s="1"/>
  <c r="D123" i="1"/>
  <c r="F123" i="1" s="1"/>
  <c r="C124" i="1"/>
  <c r="E124" i="1" s="1"/>
  <c r="D124" i="1"/>
  <c r="F124" i="1" s="1"/>
  <c r="C125" i="1"/>
  <c r="E125" i="1" s="1"/>
  <c r="D125" i="1"/>
  <c r="F125" i="1" s="1"/>
  <c r="C126" i="1"/>
  <c r="E126" i="1" s="1"/>
  <c r="D126" i="1"/>
  <c r="F126" i="1" s="1"/>
  <c r="C127" i="1"/>
  <c r="E127" i="1" s="1"/>
  <c r="D127" i="1"/>
  <c r="F127" i="1" s="1"/>
  <c r="C128" i="1"/>
  <c r="E128" i="1" s="1"/>
  <c r="D128" i="1"/>
  <c r="F128" i="1" s="1"/>
  <c r="C129" i="1"/>
  <c r="E129" i="1" s="1"/>
  <c r="D129" i="1"/>
  <c r="F129" i="1" s="1"/>
  <c r="C130" i="1"/>
  <c r="E130" i="1" s="1"/>
  <c r="D130" i="1"/>
  <c r="F130" i="1" s="1"/>
  <c r="C131" i="1"/>
  <c r="E131" i="1" s="1"/>
  <c r="D131" i="1"/>
  <c r="F131" i="1" s="1"/>
  <c r="C132" i="1"/>
  <c r="E132" i="1" s="1"/>
  <c r="D132" i="1"/>
  <c r="F132" i="1" s="1"/>
  <c r="C133" i="1"/>
  <c r="E133" i="1" s="1"/>
  <c r="D133" i="1"/>
  <c r="F133" i="1" s="1"/>
  <c r="C134" i="1"/>
  <c r="E134" i="1" s="1"/>
  <c r="D134" i="1"/>
  <c r="F134" i="1" s="1"/>
  <c r="C135" i="1"/>
  <c r="E135" i="1" s="1"/>
  <c r="D135" i="1"/>
  <c r="F135" i="1" s="1"/>
  <c r="C136" i="1"/>
  <c r="E136" i="1" s="1"/>
  <c r="D136" i="1"/>
  <c r="F136" i="1" s="1"/>
  <c r="C137" i="1"/>
  <c r="E137" i="1" s="1"/>
  <c r="D137" i="1"/>
  <c r="F137" i="1" s="1"/>
  <c r="C138" i="1"/>
  <c r="E138" i="1" s="1"/>
  <c r="D138" i="1"/>
  <c r="F138" i="1" s="1"/>
  <c r="C139" i="1"/>
  <c r="E139" i="1" s="1"/>
  <c r="D139" i="1"/>
  <c r="F139" i="1" s="1"/>
  <c r="C45" i="1"/>
  <c r="E45" i="1" s="1"/>
  <c r="D45" i="1"/>
  <c r="F45" i="1" s="1"/>
  <c r="C46" i="1"/>
  <c r="E46" i="1" s="1"/>
  <c r="D46" i="1"/>
  <c r="F46" i="1" s="1"/>
  <c r="C47" i="1"/>
  <c r="E47" i="1" s="1"/>
  <c r="D47" i="1"/>
  <c r="F47" i="1" s="1"/>
  <c r="C48" i="1"/>
  <c r="E48" i="1" s="1"/>
  <c r="D48" i="1"/>
  <c r="F48" i="1" s="1"/>
  <c r="C49" i="1"/>
  <c r="E49" i="1" s="1"/>
  <c r="D49" i="1"/>
  <c r="F49" i="1" s="1"/>
  <c r="C50" i="1"/>
  <c r="E50" i="1" s="1"/>
  <c r="D50" i="1"/>
  <c r="F50" i="1" s="1"/>
  <c r="C51" i="1"/>
  <c r="E51" i="1" s="1"/>
  <c r="D51" i="1"/>
  <c r="F51" i="1" s="1"/>
  <c r="C52" i="1"/>
  <c r="E52" i="1" s="1"/>
  <c r="D52" i="1"/>
  <c r="F52" i="1" s="1"/>
  <c r="C53" i="1"/>
  <c r="E53" i="1" s="1"/>
  <c r="D53" i="1"/>
  <c r="F53" i="1" s="1"/>
  <c r="C54" i="1"/>
  <c r="E54" i="1" s="1"/>
  <c r="D54" i="1"/>
  <c r="F54" i="1" s="1"/>
  <c r="C55" i="1"/>
  <c r="E55" i="1" s="1"/>
  <c r="D55" i="1"/>
  <c r="F55" i="1" s="1"/>
  <c r="C56" i="1"/>
  <c r="E56" i="1" s="1"/>
  <c r="D56" i="1"/>
  <c r="F56" i="1" s="1"/>
  <c r="C57" i="1"/>
  <c r="E57" i="1" s="1"/>
  <c r="D57" i="1"/>
  <c r="F57" i="1" s="1"/>
  <c r="C58" i="1"/>
  <c r="E58" i="1" s="1"/>
  <c r="D58" i="1"/>
  <c r="F58" i="1" s="1"/>
  <c r="C59" i="1"/>
  <c r="E59" i="1" s="1"/>
  <c r="D59" i="1"/>
  <c r="F59" i="1" s="1"/>
  <c r="C60" i="1"/>
  <c r="E60" i="1" s="1"/>
  <c r="D60" i="1"/>
  <c r="F60" i="1" s="1"/>
  <c r="C61" i="1"/>
  <c r="E61" i="1" s="1"/>
  <c r="D61" i="1"/>
  <c r="F61" i="1" s="1"/>
  <c r="C62" i="1"/>
  <c r="E62" i="1" s="1"/>
  <c r="D62" i="1"/>
  <c r="F62" i="1" s="1"/>
  <c r="C63" i="1"/>
  <c r="E63" i="1" s="1"/>
  <c r="D63" i="1"/>
  <c r="F63" i="1" s="1"/>
  <c r="C18" i="1"/>
  <c r="E18" i="1" s="1"/>
  <c r="D18" i="1"/>
  <c r="F18" i="1" s="1"/>
  <c r="C19" i="1"/>
  <c r="E19" i="1" s="1"/>
  <c r="D19" i="1"/>
  <c r="F19" i="1" s="1"/>
  <c r="C20" i="1"/>
  <c r="E20" i="1" s="1"/>
  <c r="D20" i="1"/>
  <c r="F20" i="1" s="1"/>
  <c r="C21" i="1"/>
  <c r="E21" i="1" s="1"/>
  <c r="D21" i="1"/>
  <c r="F21" i="1" s="1"/>
  <c r="C22" i="1"/>
  <c r="E22" i="1" s="1"/>
  <c r="D22" i="1"/>
  <c r="F22" i="1" s="1"/>
  <c r="C23" i="1"/>
  <c r="E23" i="1" s="1"/>
  <c r="D23" i="1"/>
  <c r="F23" i="1" s="1"/>
  <c r="C24" i="1"/>
  <c r="E24" i="1" s="1"/>
  <c r="D24" i="1"/>
  <c r="F24" i="1" s="1"/>
  <c r="C25" i="1"/>
  <c r="E25" i="1" s="1"/>
  <c r="D25" i="1"/>
  <c r="F25" i="1" s="1"/>
  <c r="C26" i="1"/>
  <c r="E26" i="1" s="1"/>
  <c r="D26" i="1"/>
  <c r="F26" i="1" s="1"/>
  <c r="C27" i="1"/>
  <c r="E27" i="1" s="1"/>
  <c r="D27" i="1"/>
  <c r="F27" i="1" s="1"/>
  <c r="C28" i="1"/>
  <c r="E28" i="1" s="1"/>
  <c r="D28" i="1"/>
  <c r="F28" i="1" s="1"/>
  <c r="C29" i="1"/>
  <c r="E29" i="1" s="1"/>
  <c r="D29" i="1"/>
  <c r="F29" i="1" s="1"/>
  <c r="C30" i="1"/>
  <c r="E30" i="1" s="1"/>
  <c r="D30" i="1"/>
  <c r="F30" i="1" s="1"/>
  <c r="C31" i="1"/>
  <c r="E31" i="1" s="1"/>
  <c r="D31" i="1"/>
  <c r="F31" i="1" s="1"/>
  <c r="C32" i="1"/>
  <c r="E32" i="1" s="1"/>
  <c r="D32" i="1"/>
  <c r="F32" i="1" s="1"/>
  <c r="C33" i="1"/>
  <c r="E33" i="1" s="1"/>
  <c r="D33" i="1"/>
  <c r="F33" i="1" s="1"/>
  <c r="C34" i="1"/>
  <c r="E34" i="1" s="1"/>
  <c r="D34" i="1"/>
  <c r="F34" i="1" s="1"/>
  <c r="C35" i="1"/>
  <c r="E35" i="1" s="1"/>
  <c r="D35" i="1"/>
  <c r="F35" i="1" s="1"/>
  <c r="C36" i="1"/>
  <c r="E36" i="1" s="1"/>
  <c r="D36" i="1"/>
  <c r="F36" i="1" s="1"/>
  <c r="C37" i="1"/>
  <c r="E37" i="1" s="1"/>
  <c r="D37" i="1"/>
  <c r="F37" i="1" s="1"/>
  <c r="C38" i="1"/>
  <c r="E38" i="1" s="1"/>
  <c r="D38" i="1"/>
  <c r="F38" i="1" s="1"/>
  <c r="C39" i="1"/>
  <c r="E39" i="1" s="1"/>
  <c r="D39" i="1"/>
  <c r="F39" i="1" s="1"/>
  <c r="C40" i="1"/>
  <c r="E40" i="1" s="1"/>
  <c r="D40" i="1"/>
  <c r="F40" i="1" s="1"/>
  <c r="C41" i="1"/>
  <c r="E41" i="1" s="1"/>
  <c r="D41" i="1"/>
  <c r="F41" i="1" s="1"/>
  <c r="C42" i="1"/>
  <c r="E42" i="1" s="1"/>
  <c r="D42" i="1"/>
  <c r="F42" i="1" s="1"/>
  <c r="C43" i="1"/>
  <c r="E43" i="1" s="1"/>
  <c r="D43" i="1"/>
  <c r="F43" i="1" s="1"/>
  <c r="C44" i="1"/>
  <c r="E44" i="1" s="1"/>
  <c r="D44" i="1"/>
  <c r="F44" i="1" s="1"/>
  <c r="D2" i="1"/>
  <c r="F2" i="1" s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C2" i="1"/>
  <c r="E2" i="1" s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1" i="1"/>
  <c r="E11" i="1" s="1"/>
  <c r="D11" i="1"/>
  <c r="F11" i="1" s="1"/>
  <c r="C12" i="1"/>
  <c r="E12" i="1" s="1"/>
  <c r="D12" i="1"/>
  <c r="F12" i="1" s="1"/>
  <c r="C13" i="1"/>
  <c r="E13" i="1" s="1"/>
  <c r="D13" i="1"/>
  <c r="F13" i="1" s="1"/>
  <c r="C14" i="1"/>
  <c r="E14" i="1" s="1"/>
  <c r="D14" i="1"/>
  <c r="F14" i="1" s="1"/>
  <c r="C15" i="1"/>
  <c r="E15" i="1" s="1"/>
  <c r="D15" i="1"/>
  <c r="F15" i="1" s="1"/>
  <c r="C16" i="1"/>
  <c r="E16" i="1" s="1"/>
  <c r="D16" i="1"/>
  <c r="F16" i="1" s="1"/>
  <c r="C17" i="1"/>
  <c r="E17" i="1" s="1"/>
  <c r="D17" i="1"/>
  <c r="F17" i="1" s="1"/>
  <c r="D10" i="1"/>
  <c r="F10" i="1" s="1"/>
  <c r="C10" i="1"/>
  <c r="E10" i="1" s="1"/>
</calcChain>
</file>

<file path=xl/sharedStrings.xml><?xml version="1.0" encoding="utf-8"?>
<sst xmlns="http://schemas.openxmlformats.org/spreadsheetml/2006/main" count="294" uniqueCount="243">
  <si>
    <t xml:space="preserve">16.2 (-53.8) </t>
  </si>
  <si>
    <t xml:space="preserve">20.8 (-29.2) </t>
  </si>
  <si>
    <t xml:space="preserve">53.1 (8.1) </t>
  </si>
  <si>
    <t xml:space="preserve">42.3 (6.3) </t>
  </si>
  <si>
    <t xml:space="preserve">41 (5) </t>
  </si>
  <si>
    <t xml:space="preserve">36.1 (0.1) </t>
  </si>
  <si>
    <t xml:space="preserve">30.7 (0.7) </t>
  </si>
  <si>
    <t>SEPIC-A</t>
  </si>
  <si>
    <t>SEPIC_B</t>
  </si>
  <si>
    <t xml:space="preserve">-7.7 (-77.7) </t>
  </si>
  <si>
    <t xml:space="preserve">12 (-38) </t>
  </si>
  <si>
    <t xml:space="preserve">36.9 (-8.1) </t>
  </si>
  <si>
    <t xml:space="preserve">43.9 (7.9) </t>
  </si>
  <si>
    <t xml:space="preserve">46.2 (10.2) </t>
  </si>
  <si>
    <t xml:space="preserve">50 (14) </t>
  </si>
  <si>
    <t xml:space="preserve">50 (20) </t>
  </si>
  <si>
    <t xml:space="preserve">49.7 (19.7) </t>
  </si>
  <si>
    <t xml:space="preserve">-2.8 (-72.8) </t>
  </si>
  <si>
    <t xml:space="preserve">9.9 (-40.1) </t>
  </si>
  <si>
    <t xml:space="preserve">41.5 (-3.5) </t>
  </si>
  <si>
    <t xml:space="preserve">37.8 (1.8) </t>
  </si>
  <si>
    <t xml:space="preserve">40.6 (4.6) </t>
  </si>
  <si>
    <t xml:space="preserve">43 (7) </t>
  </si>
  <si>
    <t xml:space="preserve">43 (13) </t>
  </si>
  <si>
    <t xml:space="preserve">13.5 (-56.5) </t>
  </si>
  <si>
    <t xml:space="preserve">13.5 (-36.5) </t>
  </si>
  <si>
    <t xml:space="preserve">41.8 (-3.2) </t>
  </si>
  <si>
    <t xml:space="preserve">26.8 (-9.2) </t>
  </si>
  <si>
    <t xml:space="preserve">28.4 (-7.6) </t>
  </si>
  <si>
    <t xml:space="preserve">27.5 (-8.5) </t>
  </si>
  <si>
    <t xml:space="preserve">22.3 (-7.7) </t>
  </si>
  <si>
    <t xml:space="preserve">21.8 (-8.2) </t>
  </si>
  <si>
    <t xml:space="preserve">-9 (-79) </t>
  </si>
  <si>
    <t xml:space="preserve">10.8 (-39.2) </t>
  </si>
  <si>
    <t xml:space="preserve">40.9 (-4.1) </t>
  </si>
  <si>
    <t xml:space="preserve">43.2 (7.2) </t>
  </si>
  <si>
    <t xml:space="preserve">46.1 (10.1) </t>
  </si>
  <si>
    <t xml:space="preserve">49.7 (13.7) </t>
  </si>
  <si>
    <t xml:space="preserve">49.6 (19.6) </t>
  </si>
  <si>
    <t xml:space="preserve">-4.2 (-74.2) </t>
  </si>
  <si>
    <t xml:space="preserve">9.7 (-40.3) </t>
  </si>
  <si>
    <t xml:space="preserve">42.1 (-2.9) </t>
  </si>
  <si>
    <t xml:space="preserve">38.3 (2.3) </t>
  </si>
  <si>
    <t xml:space="preserve">47.2 (11.2) </t>
  </si>
  <si>
    <t xml:space="preserve">47.2 (17.2) </t>
  </si>
  <si>
    <t xml:space="preserve">1.6 (-44.4) </t>
  </si>
  <si>
    <t xml:space="preserve">-6.6 (-42.6) </t>
  </si>
  <si>
    <t xml:space="preserve">18.5 (-13.5) </t>
  </si>
  <si>
    <t xml:space="preserve">24 (-6) </t>
  </si>
  <si>
    <t xml:space="preserve">18.2 (-11.8) </t>
  </si>
  <si>
    <t xml:space="preserve">31 (3) </t>
  </si>
  <si>
    <t xml:space="preserve">29.9 (-4.1) </t>
  </si>
  <si>
    <t xml:space="preserve">17.5 (-25.5) </t>
  </si>
  <si>
    <t xml:space="preserve">17.5 (-29.5) </t>
  </si>
  <si>
    <t xml:space="preserve">38.5 (6.5) </t>
  </si>
  <si>
    <t xml:space="preserve">24 (-8) </t>
  </si>
  <si>
    <t xml:space="preserve">21.5 (-5.5) </t>
  </si>
  <si>
    <t xml:space="preserve">20.8 (-6.2) </t>
  </si>
  <si>
    <t xml:space="preserve">31.3 (1.3) </t>
  </si>
  <si>
    <t xml:space="preserve">17.5 (-12.5) </t>
  </si>
  <si>
    <t xml:space="preserve">11.8 (-18.2) </t>
  </si>
  <si>
    <t xml:space="preserve">9.1 (-26.9) </t>
  </si>
  <si>
    <t xml:space="preserve">8.9 (-27.1) </t>
  </si>
  <si>
    <t xml:space="preserve">-7.1 (-43.1) </t>
  </si>
  <si>
    <t xml:space="preserve">15 (-17) </t>
  </si>
  <si>
    <t xml:space="preserve">19.1 (-10.9) </t>
  </si>
  <si>
    <t xml:space="preserve">14.6 (-15.4) </t>
  </si>
  <si>
    <t xml:space="preserve">29.9 (1.9) </t>
  </si>
  <si>
    <t xml:space="preserve">21.4 (-12.6) </t>
  </si>
  <si>
    <t xml:space="preserve">14.7 (-28.3) </t>
  </si>
  <si>
    <t xml:space="preserve">14.7 (-32.3) </t>
  </si>
  <si>
    <t xml:space="preserve">28.5 (-3.5) </t>
  </si>
  <si>
    <t xml:space="preserve">19.1 (-12.9) </t>
  </si>
  <si>
    <t xml:space="preserve">14.6 (-12.4) </t>
  </si>
  <si>
    <t xml:space="preserve">13.3 (-13.7) </t>
  </si>
  <si>
    <t xml:space="preserve">25.7 (-4.3) </t>
  </si>
  <si>
    <t xml:space="preserve">12.6 (-17.4) </t>
  </si>
  <si>
    <t xml:space="preserve">6.4 (-23.6) </t>
  </si>
  <si>
    <t xml:space="preserve">11.2 (-24.8) </t>
  </si>
  <si>
    <t xml:space="preserve">9.6 (-26.4) </t>
  </si>
  <si>
    <t xml:space="preserve">10.4 (-25.6) </t>
  </si>
  <si>
    <t xml:space="preserve">1.9 (-44.1) </t>
  </si>
  <si>
    <t xml:space="preserve">25.6 (-6.4) </t>
  </si>
  <si>
    <t xml:space="preserve">25.4 (-4.6) </t>
  </si>
  <si>
    <t xml:space="preserve">20.8 (-9.2) </t>
  </si>
  <si>
    <t xml:space="preserve">31.8 (3.8) </t>
  </si>
  <si>
    <t xml:space="preserve">31.8 (-2.2) </t>
  </si>
  <si>
    <t xml:space="preserve">13.9 (-29.1) </t>
  </si>
  <si>
    <t xml:space="preserve">13.9 (-33.1) </t>
  </si>
  <si>
    <t xml:space="preserve">47.5 (15.5) </t>
  </si>
  <si>
    <t xml:space="preserve">25.4 (-6.6) </t>
  </si>
  <si>
    <t xml:space="preserve">24.2 (-2.8) </t>
  </si>
  <si>
    <t xml:space="preserve">22.5 (-4.5) </t>
  </si>
  <si>
    <t xml:space="preserve">31.1 (1.1) </t>
  </si>
  <si>
    <t xml:space="preserve">13.9 (-16.1) </t>
  </si>
  <si>
    <t xml:space="preserve">8.9 (-21.1) </t>
  </si>
  <si>
    <t xml:space="preserve">9.2 (-26.8) </t>
  </si>
  <si>
    <t xml:space="preserve">9 (-27) </t>
  </si>
  <si>
    <t xml:space="preserve">1.8 (-44.2) </t>
  </si>
  <si>
    <t xml:space="preserve">-5.7 (-41.7) </t>
  </si>
  <si>
    <t xml:space="preserve">16.7 (-15.3) </t>
  </si>
  <si>
    <t xml:space="preserve">19.8 (-10.2) </t>
  </si>
  <si>
    <t xml:space="preserve">19.5 (-10.5) </t>
  </si>
  <si>
    <t xml:space="preserve">21.1 (-6.9) </t>
  </si>
  <si>
    <t xml:space="preserve">21.1 (-12.9) </t>
  </si>
  <si>
    <t xml:space="preserve">39.9 (7.9) </t>
  </si>
  <si>
    <t xml:space="preserve">19.8 (-12.2) </t>
  </si>
  <si>
    <t xml:space="preserve">17.9 (-9.1) </t>
  </si>
  <si>
    <t xml:space="preserve">23.1 (-6.9) </t>
  </si>
  <si>
    <t xml:space="preserve">12.3 (-17.7) </t>
  </si>
  <si>
    <t xml:space="preserve">5 (-25) </t>
  </si>
  <si>
    <t xml:space="preserve">10.5 (-25.5) </t>
  </si>
  <si>
    <t xml:space="preserve">10 (-26) </t>
  </si>
  <si>
    <t xml:space="preserve">18.2 (-17.8) </t>
  </si>
  <si>
    <t xml:space="preserve">27.7 (-4.3) </t>
  </si>
  <si>
    <t xml:space="preserve">27.7 (-2.3) </t>
  </si>
  <si>
    <t xml:space="preserve">24.1 (-5.9) </t>
  </si>
  <si>
    <t xml:space="preserve">30.7 (2.7) </t>
  </si>
  <si>
    <t xml:space="preserve">30.7 (-3.3) </t>
  </si>
  <si>
    <t xml:space="preserve">47 (15) </t>
  </si>
  <si>
    <t xml:space="preserve">27.6 (0.6) </t>
  </si>
  <si>
    <t xml:space="preserve">28.2 (1.2) </t>
  </si>
  <si>
    <t xml:space="preserve">23.4 (-6.6) </t>
  </si>
  <si>
    <t xml:space="preserve">17.8 (-12.2) </t>
  </si>
  <si>
    <t xml:space="preserve">5.2 (-24.8) </t>
  </si>
  <si>
    <t xml:space="preserve">1.7 (-44.3) </t>
  </si>
  <si>
    <t xml:space="preserve">-4.5 (-40.5) </t>
  </si>
  <si>
    <t xml:space="preserve">26.1 (-5.9) </t>
  </si>
  <si>
    <t xml:space="preserve">21.9 (-8.1) </t>
  </si>
  <si>
    <t xml:space="preserve">22 (-8) </t>
  </si>
  <si>
    <t xml:space="preserve">22.9 (-5.1) </t>
  </si>
  <si>
    <t xml:space="preserve">22.9 (-11.1) </t>
  </si>
  <si>
    <t xml:space="preserve">11.2 (-31.8) </t>
  </si>
  <si>
    <t xml:space="preserve">11.2 (-35.8) </t>
  </si>
  <si>
    <t xml:space="preserve">40.6 (8.6) </t>
  </si>
  <si>
    <t xml:space="preserve">21.9 (-10.1) </t>
  </si>
  <si>
    <t xml:space="preserve">21.2 (-5.8) </t>
  </si>
  <si>
    <t xml:space="preserve">21.3 (-5.7) </t>
  </si>
  <si>
    <t xml:space="preserve">20 (-10) </t>
  </si>
  <si>
    <t xml:space="preserve">10.1 (-19.9) </t>
  </si>
  <si>
    <t xml:space="preserve">3.5 (-26.5) </t>
  </si>
  <si>
    <t xml:space="preserve">2 (-44) </t>
  </si>
  <si>
    <t xml:space="preserve">-3 (-39) </t>
  </si>
  <si>
    <t xml:space="preserve">33.3 (1.3) </t>
  </si>
  <si>
    <t xml:space="preserve">36.7 (6.7) </t>
  </si>
  <si>
    <t xml:space="preserve">29.5 (-0.5) </t>
  </si>
  <si>
    <t xml:space="preserve">32.9 (4.9) </t>
  </si>
  <si>
    <t xml:space="preserve">29.6 (-4.4) </t>
  </si>
  <si>
    <t xml:space="preserve">15.5 (-27.5) </t>
  </si>
  <si>
    <t xml:space="preserve">15.5 (-31.5) </t>
  </si>
  <si>
    <t xml:space="preserve">57.8 (25.8) </t>
  </si>
  <si>
    <t xml:space="preserve">55.7 (23.7) </t>
  </si>
  <si>
    <t xml:space="preserve">27.8 (0.8) </t>
  </si>
  <si>
    <t xml:space="preserve">38.4 (11.4) </t>
  </si>
  <si>
    <t xml:space="preserve">34.7 (4.7) </t>
  </si>
  <si>
    <t xml:space="preserve">15.8 (-14.2) </t>
  </si>
  <si>
    <t xml:space="preserve">-6.9 (-42.9) </t>
  </si>
  <si>
    <t xml:space="preserve">30.2 (-1.8) </t>
  </si>
  <si>
    <t xml:space="preserve">30.3 (0.3) </t>
  </si>
  <si>
    <t xml:space="preserve">31.7 (3.7) </t>
  </si>
  <si>
    <t xml:space="preserve">28 (-6) </t>
  </si>
  <si>
    <t xml:space="preserve">13.5 (-29.5) </t>
  </si>
  <si>
    <t xml:space="preserve">13.5 (-33.5) </t>
  </si>
  <si>
    <t xml:space="preserve">52 (20) </t>
  </si>
  <si>
    <t xml:space="preserve">49.5 (17.5) </t>
  </si>
  <si>
    <t xml:space="preserve">22.2 (-4.8) </t>
  </si>
  <si>
    <t xml:space="preserve">28.9 (1.9) </t>
  </si>
  <si>
    <t xml:space="preserve">18.1 (-11.9) </t>
  </si>
  <si>
    <t xml:space="preserve">15 (-15) </t>
  </si>
  <si>
    <t xml:space="preserve">11.4 (-24.6) </t>
  </si>
  <si>
    <t xml:space="preserve">9.4 (-26.6) </t>
  </si>
  <si>
    <t xml:space="preserve">10.1 (-25.9) </t>
  </si>
  <si>
    <t xml:space="preserve">4.2 (-41.8) </t>
  </si>
  <si>
    <t xml:space="preserve">35.9 (-0.1) </t>
  </si>
  <si>
    <t xml:space="preserve">-1.6 (-33.6) </t>
  </si>
  <si>
    <t xml:space="preserve">36.3 (6.3) </t>
  </si>
  <si>
    <t xml:space="preserve">22.7 (-7.3) </t>
  </si>
  <si>
    <t xml:space="preserve">26.5 (-1.5) </t>
  </si>
  <si>
    <t xml:space="preserve">21.9 (-12.1) </t>
  </si>
  <si>
    <t xml:space="preserve">18.1 (-24.9) </t>
  </si>
  <si>
    <t xml:space="preserve">18.1 (-28.9) </t>
  </si>
  <si>
    <t xml:space="preserve">30.7 (-1.3) </t>
  </si>
  <si>
    <t xml:space="preserve">43.9 (11.9) </t>
  </si>
  <si>
    <t xml:space="preserve">27.2 (0.2) </t>
  </si>
  <si>
    <t xml:space="preserve">22.9 (-4.1) </t>
  </si>
  <si>
    <t xml:space="preserve">31 (1) </t>
  </si>
  <si>
    <t xml:space="preserve">17.1 (-12.9) </t>
  </si>
  <si>
    <t xml:space="preserve">14.5 (-51.5) </t>
  </si>
  <si>
    <t xml:space="preserve">15.6 (-40.4) </t>
  </si>
  <si>
    <t xml:space="preserve">24.5 (-27.5) </t>
  </si>
  <si>
    <t xml:space="preserve">36.5 (-3.5) </t>
  </si>
  <si>
    <t xml:space="preserve">22.3 (-27.7) </t>
  </si>
  <si>
    <t xml:space="preserve">34.8 (-3.2) </t>
  </si>
  <si>
    <t xml:space="preserve">24.4 (-19.6) </t>
  </si>
  <si>
    <t xml:space="preserve">24.4 (-28.6) </t>
  </si>
  <si>
    <t xml:space="preserve">24.3 (-32.7) </t>
  </si>
  <si>
    <t xml:space="preserve">42.5 (-9.5) </t>
  </si>
  <si>
    <t xml:space="preserve">41.4 (-10.6) </t>
  </si>
  <si>
    <t xml:space="preserve">22.5 (-24.5) </t>
  </si>
  <si>
    <t xml:space="preserve">24.5 (-22.5) </t>
  </si>
  <si>
    <t xml:space="preserve">36.6 (-7.4) </t>
  </si>
  <si>
    <t xml:space="preserve">22.9 (-27.1) </t>
  </si>
  <si>
    <t xml:space="preserve">20.7 (-23.3) </t>
  </si>
  <si>
    <t xml:space="preserve">24.4 (-31.6) </t>
  </si>
  <si>
    <t xml:space="preserve">24.2 (-31.8) </t>
  </si>
  <si>
    <t xml:space="preserve">4 (-42) </t>
  </si>
  <si>
    <t xml:space="preserve">34.6 (-1.4) </t>
  </si>
  <si>
    <t xml:space="preserve">-6.3 (-38.3) </t>
  </si>
  <si>
    <t xml:space="preserve">35.1 (5.1) </t>
  </si>
  <si>
    <t xml:space="preserve">24 (-4) </t>
  </si>
  <si>
    <t xml:space="preserve">24 (-10) </t>
  </si>
  <si>
    <t xml:space="preserve">14.8 (-28.2) </t>
  </si>
  <si>
    <t xml:space="preserve">14.8 (-32.2) </t>
  </si>
  <si>
    <t xml:space="preserve">29.6 (-2.4) </t>
  </si>
  <si>
    <t xml:space="preserve">43.8 (11.8) </t>
  </si>
  <si>
    <t xml:space="preserve">27.3 (0.3) </t>
  </si>
  <si>
    <t xml:space="preserve">22.8 (-4.2) </t>
  </si>
  <si>
    <t xml:space="preserve">19.2 (-10.8) </t>
  </si>
  <si>
    <t xml:space="preserve">14.9 (-15.1) </t>
  </si>
  <si>
    <t xml:space="preserve">-7 (-43) </t>
  </si>
  <si>
    <t xml:space="preserve">-7.7 (-39.7) </t>
  </si>
  <si>
    <t xml:space="preserve">37.1 (7.1) </t>
  </si>
  <si>
    <t xml:space="preserve">17.2 (-12.8) </t>
  </si>
  <si>
    <t xml:space="preserve">24.8 (-3.2) </t>
  </si>
  <si>
    <t xml:space="preserve">19 (-15) </t>
  </si>
  <si>
    <t xml:space="preserve">12.6 (-30.4) </t>
  </si>
  <si>
    <t xml:space="preserve">9.5 (-37.5) </t>
  </si>
  <si>
    <t xml:space="preserve">-1.9 (-33.9) </t>
  </si>
  <si>
    <t xml:space="preserve">38.8 (6.8) </t>
  </si>
  <si>
    <t xml:space="preserve">18.9 (-8.1) </t>
  </si>
  <si>
    <t xml:space="preserve">20.1 (-6.9) </t>
  </si>
  <si>
    <t xml:space="preserve">6.8 (-23.2) </t>
  </si>
  <si>
    <t>Sepic-A</t>
  </si>
  <si>
    <t>Sepic-B</t>
  </si>
  <si>
    <t>Összesítve</t>
  </si>
  <si>
    <t>Limittől</t>
  </si>
  <si>
    <t>Javulás A -hoz képest</t>
  </si>
  <si>
    <t>Javulás A-hoz képest</t>
  </si>
  <si>
    <t>CEV átlag [dBuV/m]</t>
  </si>
  <si>
    <t>REA átlag [dBuV/m]</t>
  </si>
  <si>
    <t>BCI átlag [dBuV/m]</t>
  </si>
  <si>
    <t>CEV data</t>
  </si>
  <si>
    <t>REA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</si>
</sst>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238"/>
      <scheme val="minor"/>
    </font>
    <font>
      <b/>
      <sz val="10"/>
      <color rgb="FF000000"/>
      <name val="Times New Roman"/>
      <family val="1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indexed="64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NumberFormat="1"/>
    <xf numFmtId="0" fontId="1" fillId="5" borderId="2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3" fillId="0" borderId="7" xfId="0" applyFont="1" applyBorder="1"/>
    <xf numFmtId="0" fontId="0" fillId="6" borderId="8" xfId="0" applyFill="1" applyBorder="1"/>
    <xf numFmtId="0" fontId="0" fillId="4" borderId="5" xfId="0" applyFill="1" applyBorder="1"/>
    <xf numFmtId="0" fontId="0" fillId="0" borderId="12" xfId="0" applyBorder="1"/>
    <xf numFmtId="0" fontId="0" fillId="0" borderId="13" xfId="0" applyBorder="1"/>
    <xf numFmtId="164" fontId="0" fillId="8" borderId="14" xfId="0" applyNumberFormat="1" applyFill="1" applyBorder="1" applyAlignment="1">
      <alignment horizontal="center"/>
    </xf>
    <xf numFmtId="164" fontId="0" fillId="7" borderId="9" xfId="0" applyNumberFormat="1" applyFill="1" applyBorder="1" applyAlignment="1">
      <alignment horizontal="center"/>
    </xf>
    <xf numFmtId="164" fontId="0" fillId="8" borderId="10" xfId="0" applyNumberFormat="1" applyFill="1" applyBorder="1" applyAlignment="1">
      <alignment horizontal="center"/>
    </xf>
    <xf numFmtId="0" fontId="0" fillId="9" borderId="8" xfId="0" applyFill="1" applyBorder="1"/>
    <xf numFmtId="164" fontId="0" fillId="10" borderId="11" xfId="0" applyNumberFormat="1" applyFill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164" fontId="0" fillId="10" borderId="17" xfId="0" applyNumberFormat="1" applyFill="1" applyBorder="1" applyAlignment="1">
      <alignment horizontal="center"/>
    </xf>
    <xf numFmtId="9" fontId="4" fillId="0" borderId="18" xfId="1" applyFont="1" applyBorder="1" applyAlignment="1">
      <alignment horizontal="center"/>
    </xf>
    <xf numFmtId="9" fontId="4" fillId="0" borderId="15" xfId="1" applyFont="1" applyBorder="1" applyAlignment="1">
      <alignment horizontal="center"/>
    </xf>
    <xf numFmtId="9" fontId="4" fillId="0" borderId="8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5574-71EA-41B5-998A-C69BD39EA7E4}">
  <dimension ref="A1:W139"/>
  <sheetViews>
    <sheetView tabSelected="1" zoomScale="85" zoomScaleNormal="85" workbookViewId="0">
      <selection activeCell="J12" sqref="J12"/>
    </sheetView>
  </sheetViews>
  <sheetFormatPr defaultRowHeight="15" x14ac:dyDescent="0.25"/>
  <cols>
    <col min="1" max="1" width="20.7109375" customWidth="1"/>
    <col min="2" max="2" width="25" customWidth="1"/>
    <col min="3" max="6" width="0" hidden="1" customWidth="1"/>
    <col min="12" max="12" width="23.140625" customWidth="1"/>
    <col min="13" max="13" width="19.140625" customWidth="1"/>
    <col min="14" max="14" width="18.5703125" customWidth="1"/>
    <col min="15" max="15" width="17.28515625" bestFit="1" customWidth="1"/>
    <col min="17" max="20" width="0" hidden="1" customWidth="1"/>
  </cols>
  <sheetData>
    <row r="1" spans="1:23" ht="15.75" thickBot="1" x14ac:dyDescent="0.3">
      <c r="A1" t="s">
        <v>7</v>
      </c>
      <c r="B1" t="s">
        <v>8</v>
      </c>
      <c r="H1" s="28" t="s">
        <v>241</v>
      </c>
      <c r="I1" s="28"/>
      <c r="L1" s="12" t="s">
        <v>234</v>
      </c>
      <c r="M1" s="15" t="s">
        <v>238</v>
      </c>
      <c r="N1" s="14" t="s">
        <v>239</v>
      </c>
      <c r="O1" s="21" t="s">
        <v>240</v>
      </c>
      <c r="V1" s="28" t="s">
        <v>242</v>
      </c>
      <c r="W1" s="28"/>
    </row>
    <row r="2" spans="1:23" ht="15.75" thickBot="1" x14ac:dyDescent="0.3">
      <c r="A2" s="1" t="s">
        <v>0</v>
      </c>
      <c r="B2" s="1" t="s">
        <v>24</v>
      </c>
      <c r="C2" t="str">
        <f t="shared" ref="C2:C9" si="0">LEFT(A2,SEARCH(" ",A2))</f>
        <v xml:space="preserve">16.2 </v>
      </c>
      <c r="D2" t="str">
        <f t="shared" ref="D2:D9" si="1">LEFT(B2,SEARCH(" ",B2))</f>
        <v xml:space="preserve">13.5 </v>
      </c>
      <c r="E2" s="5" t="str">
        <f>IFERROR(REPLACE(C2,SEARCH(".",C2),1,","),C2)</f>
        <v xml:space="preserve">16,2 </v>
      </c>
      <c r="F2" s="5" t="str">
        <f t="shared" ref="F2:F33" si="2">IFERROR(REPLACE(D2,SEARCH(".",D2),1,","),D2)</f>
        <v xml:space="preserve">13,5 </v>
      </c>
      <c r="H2" s="6">
        <v>16.2</v>
      </c>
      <c r="I2" s="6">
        <v>13.5</v>
      </c>
      <c r="L2" s="16" t="s">
        <v>232</v>
      </c>
      <c r="M2" s="19">
        <f>AVERAGE(H2:H25)</f>
        <v>34.704166666666673</v>
      </c>
      <c r="N2" s="20">
        <f>AVERAGE(H26:H139)</f>
        <v>20.663157894736852</v>
      </c>
      <c r="O2" s="22"/>
      <c r="Q2" t="str">
        <f t="shared" ref="Q2:Q33" si="3">MID(A2,SEARCH("(",A2)+1,LEN(A2)-SEARCH("(",A2)-2)</f>
        <v>-53.8</v>
      </c>
      <c r="R2" t="str">
        <f t="shared" ref="R2:R33" si="4">MID(B2,SEARCH("(",B2)+1,LEN(B2)-SEARCH("(",B2)-2)</f>
        <v>-56.5</v>
      </c>
      <c r="S2" t="str">
        <f>IFERROR(REPLACE(Q2,SEARCH(".",Q2),1,","),Q2)</f>
        <v>-53,8</v>
      </c>
      <c r="T2" t="str">
        <f>IFERROR(REPLACE(R2,SEARCH(".",R2),1,","),R2)</f>
        <v>-56,5</v>
      </c>
      <c r="V2" s="6">
        <v>-53.8</v>
      </c>
      <c r="W2" s="6">
        <v>-56.5</v>
      </c>
    </row>
    <row r="3" spans="1:23" ht="16.5" thickTop="1" thickBot="1" x14ac:dyDescent="0.3">
      <c r="A3" s="2" t="s">
        <v>1</v>
      </c>
      <c r="B3" s="2" t="s">
        <v>25</v>
      </c>
      <c r="C3" t="str">
        <f t="shared" si="0"/>
        <v xml:space="preserve">20.8 </v>
      </c>
      <c r="D3" t="str">
        <f t="shared" si="1"/>
        <v xml:space="preserve">13.5 </v>
      </c>
      <c r="E3" s="5" t="str">
        <f t="shared" ref="E3:E33" si="5">IFERROR(REPLACE(C3,SEARCH(".",C3),1,","),C3)</f>
        <v xml:space="preserve">20,8 </v>
      </c>
      <c r="F3" s="5" t="str">
        <f t="shared" si="2"/>
        <v xml:space="preserve">13,5 </v>
      </c>
      <c r="H3" s="6">
        <v>20.8</v>
      </c>
      <c r="I3" s="6">
        <v>13.5</v>
      </c>
      <c r="L3" s="17" t="s">
        <v>233</v>
      </c>
      <c r="M3" s="23">
        <f>AVERAGE(I2:I25)</f>
        <v>30.058333333333337</v>
      </c>
      <c r="N3" s="18">
        <f>AVERAGE(I26:I139)</f>
        <v>17.839473684210528</v>
      </c>
      <c r="O3" s="24"/>
      <c r="Q3" t="str">
        <f t="shared" si="3"/>
        <v>-29.2</v>
      </c>
      <c r="R3" t="str">
        <f t="shared" si="4"/>
        <v>-36.5</v>
      </c>
      <c r="S3" t="str">
        <f t="shared" ref="S3:S13" si="6">IFERROR(REPLACE(Q3,SEARCH(".",Q3),1,","),Q3)</f>
        <v>-29,2</v>
      </c>
      <c r="T3" t="str">
        <f t="shared" ref="T3:T13" si="7">IFERROR(REPLACE(R3,SEARCH(".",R3),1,","),R3)</f>
        <v>-36,5</v>
      </c>
      <c r="V3" s="6">
        <v>-29.2</v>
      </c>
      <c r="W3" s="6">
        <v>-36.5</v>
      </c>
    </row>
    <row r="4" spans="1:23" ht="15.75" thickBot="1" x14ac:dyDescent="0.3">
      <c r="A4" s="3" t="s">
        <v>2</v>
      </c>
      <c r="B4" s="2" t="s">
        <v>26</v>
      </c>
      <c r="C4" t="str">
        <f t="shared" si="0"/>
        <v xml:space="preserve">53.1 </v>
      </c>
      <c r="D4" t="str">
        <f t="shared" si="1"/>
        <v xml:space="preserve">41.8 </v>
      </c>
      <c r="E4" s="5" t="str">
        <f t="shared" si="5"/>
        <v xml:space="preserve">53,1 </v>
      </c>
      <c r="F4" s="5" t="str">
        <f t="shared" si="2"/>
        <v xml:space="preserve">41,8 </v>
      </c>
      <c r="H4" s="6">
        <v>53.1</v>
      </c>
      <c r="I4" s="6">
        <v>41.8</v>
      </c>
      <c r="L4" s="13" t="s">
        <v>237</v>
      </c>
      <c r="M4" s="25">
        <f>20*LOG10(M2-M3)/(20*LOG10(M2))</f>
        <v>0.43305088612454234</v>
      </c>
      <c r="N4" s="25">
        <f>20*LOG10(N2-N3)/(20*LOG10(N2))</f>
        <v>0.34277467948264539</v>
      </c>
      <c r="O4" s="27" t="e">
        <f>(O2-O3)/O2</f>
        <v>#DIV/0!</v>
      </c>
      <c r="Q4" t="str">
        <f t="shared" si="3"/>
        <v>8.1</v>
      </c>
      <c r="R4" t="str">
        <f t="shared" si="4"/>
        <v>-3.2</v>
      </c>
      <c r="S4" t="str">
        <f t="shared" si="6"/>
        <v>8,1</v>
      </c>
      <c r="T4" t="str">
        <f t="shared" si="7"/>
        <v>-3,2</v>
      </c>
      <c r="V4" s="6">
        <v>8.1</v>
      </c>
      <c r="W4" s="6">
        <v>-3.2</v>
      </c>
    </row>
    <row r="5" spans="1:23" ht="15.75" thickBot="1" x14ac:dyDescent="0.3">
      <c r="A5" s="3" t="s">
        <v>3</v>
      </c>
      <c r="B5" s="2" t="s">
        <v>27</v>
      </c>
      <c r="C5" t="str">
        <f t="shared" si="0"/>
        <v xml:space="preserve">42.3 </v>
      </c>
      <c r="D5" t="str">
        <f t="shared" si="1"/>
        <v xml:space="preserve">26.8 </v>
      </c>
      <c r="E5" s="5" t="str">
        <f t="shared" si="5"/>
        <v xml:space="preserve">42,3 </v>
      </c>
      <c r="F5" s="5" t="str">
        <f t="shared" si="2"/>
        <v xml:space="preserve">26,8 </v>
      </c>
      <c r="H5" s="6">
        <v>42.3</v>
      </c>
      <c r="I5" s="6">
        <v>26.8</v>
      </c>
      <c r="Q5" t="str">
        <f t="shared" si="3"/>
        <v>6.3</v>
      </c>
      <c r="R5" t="str">
        <f t="shared" si="4"/>
        <v>-9.2</v>
      </c>
      <c r="S5" t="str">
        <f t="shared" si="6"/>
        <v>6,3</v>
      </c>
      <c r="T5" t="str">
        <f t="shared" si="7"/>
        <v>-9,2</v>
      </c>
      <c r="V5" s="6">
        <v>6.3</v>
      </c>
      <c r="W5" s="6">
        <v>-9.1999999999999993</v>
      </c>
    </row>
    <row r="6" spans="1:23" ht="15.75" thickBot="1" x14ac:dyDescent="0.3">
      <c r="A6" s="3" t="s">
        <v>4</v>
      </c>
      <c r="B6" s="2" t="s">
        <v>28</v>
      </c>
      <c r="C6" t="str">
        <f t="shared" si="0"/>
        <v xml:space="preserve">41 </v>
      </c>
      <c r="D6" t="str">
        <f t="shared" si="1"/>
        <v xml:space="preserve">28.4 </v>
      </c>
      <c r="E6" s="5" t="str">
        <f t="shared" si="5"/>
        <v xml:space="preserve">41 </v>
      </c>
      <c r="F6" s="5" t="str">
        <f t="shared" si="2"/>
        <v xml:space="preserve">28,4 </v>
      </c>
      <c r="H6" s="6">
        <v>41</v>
      </c>
      <c r="I6" s="6">
        <v>28.4</v>
      </c>
      <c r="L6" s="12" t="s">
        <v>235</v>
      </c>
      <c r="M6" s="15" t="s">
        <v>238</v>
      </c>
      <c r="N6" s="14" t="s">
        <v>239</v>
      </c>
      <c r="O6" s="21" t="s">
        <v>240</v>
      </c>
      <c r="Q6" t="str">
        <f t="shared" si="3"/>
        <v>5</v>
      </c>
      <c r="R6" t="str">
        <f t="shared" si="4"/>
        <v>-7.6</v>
      </c>
      <c r="S6" t="str">
        <f t="shared" si="6"/>
        <v>5</v>
      </c>
      <c r="T6" t="str">
        <f t="shared" si="7"/>
        <v>-7,6</v>
      </c>
      <c r="V6" s="6">
        <v>5</v>
      </c>
      <c r="W6" s="6">
        <v>-7.6</v>
      </c>
    </row>
    <row r="7" spans="1:23" ht="15.75" thickBot="1" x14ac:dyDescent="0.3">
      <c r="A7" s="4" t="s">
        <v>5</v>
      </c>
      <c r="B7" s="2" t="s">
        <v>29</v>
      </c>
      <c r="C7" t="str">
        <f t="shared" si="0"/>
        <v xml:space="preserve">36.1 </v>
      </c>
      <c r="D7" t="str">
        <f t="shared" si="1"/>
        <v xml:space="preserve">27.5 </v>
      </c>
      <c r="E7" s="5" t="str">
        <f t="shared" si="5"/>
        <v xml:space="preserve">36,1 </v>
      </c>
      <c r="F7" s="5" t="str">
        <f t="shared" si="2"/>
        <v xml:space="preserve">27,5 </v>
      </c>
      <c r="H7" s="6">
        <v>36.1</v>
      </c>
      <c r="I7" s="6">
        <v>27.5</v>
      </c>
      <c r="L7" s="16" t="s">
        <v>232</v>
      </c>
      <c r="M7" s="19">
        <f>AVERAGE(V2:V25)</f>
        <v>-6.9208333333333352</v>
      </c>
      <c r="N7" s="20">
        <f>AVERAGE(V31:V144)</f>
        <v>-12.643119266055049</v>
      </c>
      <c r="O7" s="22"/>
      <c r="Q7" t="str">
        <f t="shared" si="3"/>
        <v>0.1</v>
      </c>
      <c r="R7" t="str">
        <f t="shared" si="4"/>
        <v>-8.5</v>
      </c>
      <c r="S7" t="str">
        <f t="shared" si="6"/>
        <v>0,1</v>
      </c>
      <c r="T7" t="str">
        <f t="shared" si="7"/>
        <v>-8,5</v>
      </c>
      <c r="V7" s="6">
        <v>0.1</v>
      </c>
      <c r="W7" s="6">
        <v>-8.5</v>
      </c>
    </row>
    <row r="8" spans="1:23" ht="15.75" thickBot="1" x14ac:dyDescent="0.3">
      <c r="A8" s="4" t="s">
        <v>6</v>
      </c>
      <c r="B8" s="2" t="s">
        <v>30</v>
      </c>
      <c r="C8" t="str">
        <f t="shared" si="0"/>
        <v xml:space="preserve">30.7 </v>
      </c>
      <c r="D8" t="str">
        <f t="shared" si="1"/>
        <v xml:space="preserve">22.3 </v>
      </c>
      <c r="E8" s="5" t="str">
        <f t="shared" si="5"/>
        <v xml:space="preserve">30,7 </v>
      </c>
      <c r="F8" s="5" t="str">
        <f t="shared" si="2"/>
        <v xml:space="preserve">22,3 </v>
      </c>
      <c r="H8" s="6">
        <v>30.7</v>
      </c>
      <c r="I8" s="6">
        <v>22.3</v>
      </c>
      <c r="L8" s="17" t="s">
        <v>233</v>
      </c>
      <c r="M8" s="23">
        <f>AVERAGE(W7:W30)</f>
        <v>-12.308333333333332</v>
      </c>
      <c r="N8" s="18">
        <f>AVERAGE(W31:W144)</f>
        <v>-18.399082568807337</v>
      </c>
      <c r="O8" s="24"/>
      <c r="Q8" t="str">
        <f t="shared" si="3"/>
        <v>0.7</v>
      </c>
      <c r="R8" t="str">
        <f t="shared" si="4"/>
        <v>-7.7</v>
      </c>
      <c r="S8" t="str">
        <f t="shared" si="6"/>
        <v>0,7</v>
      </c>
      <c r="T8" t="str">
        <f t="shared" si="7"/>
        <v>-7,7</v>
      </c>
      <c r="V8" s="6">
        <v>0.7</v>
      </c>
      <c r="W8" s="6">
        <v>-7.7</v>
      </c>
    </row>
    <row r="9" spans="1:23" ht="15.75" thickBot="1" x14ac:dyDescent="0.3">
      <c r="A9" s="4" t="s">
        <v>6</v>
      </c>
      <c r="B9" s="2" t="s">
        <v>31</v>
      </c>
      <c r="C9" t="str">
        <f t="shared" si="0"/>
        <v xml:space="preserve">30.7 </v>
      </c>
      <c r="D9" t="str">
        <f t="shared" si="1"/>
        <v xml:space="preserve">21.8 </v>
      </c>
      <c r="E9" s="5" t="str">
        <f t="shared" si="5"/>
        <v xml:space="preserve">30,7 </v>
      </c>
      <c r="F9" s="5" t="str">
        <f t="shared" si="2"/>
        <v xml:space="preserve">21,8 </v>
      </c>
      <c r="H9" s="6">
        <v>30.7</v>
      </c>
      <c r="I9" s="6">
        <v>21.8</v>
      </c>
      <c r="L9" s="13" t="s">
        <v>236</v>
      </c>
      <c r="M9" s="25">
        <f>20*LOG10(ABS(M7-M8))/(20*LOG10(ABS(M8)))</f>
        <v>0.67087487325122797</v>
      </c>
      <c r="N9" s="25">
        <f>20*LOG10(ABS(N7-N8))/(20*LOG10(ABS(N8)))</f>
        <v>0.60098064449109501</v>
      </c>
      <c r="O9" s="26" t="e">
        <f>(O7-O8)/O7*-1</f>
        <v>#DIV/0!</v>
      </c>
      <c r="Q9" t="str">
        <f t="shared" si="3"/>
        <v>0.7</v>
      </c>
      <c r="R9" t="str">
        <f t="shared" si="4"/>
        <v>-8.2</v>
      </c>
      <c r="S9" t="str">
        <f t="shared" si="6"/>
        <v>0,7</v>
      </c>
      <c r="T9" t="str">
        <f t="shared" si="7"/>
        <v>-8,2</v>
      </c>
      <c r="V9" s="6">
        <v>0.7</v>
      </c>
      <c r="W9" s="6">
        <v>-8.1999999999999993</v>
      </c>
    </row>
    <row r="10" spans="1:23" ht="15.75" thickBot="1" x14ac:dyDescent="0.3">
      <c r="A10" s="8" t="s">
        <v>9</v>
      </c>
      <c r="B10" s="8" t="s">
        <v>17</v>
      </c>
      <c r="C10" t="str">
        <f>LEFT(A10,SEARCH(" ",A10))</f>
        <v xml:space="preserve">-7.7 </v>
      </c>
      <c r="D10" t="str">
        <f>LEFT(B10,SEARCH(" ",B10))</f>
        <v xml:space="preserve">-2.8 </v>
      </c>
      <c r="E10" s="5" t="str">
        <f t="shared" si="5"/>
        <v xml:space="preserve">-7,7 </v>
      </c>
      <c r="F10" s="5" t="str">
        <f t="shared" si="2"/>
        <v xml:space="preserve">-2,8 </v>
      </c>
      <c r="H10" s="6">
        <v>-7.7</v>
      </c>
      <c r="I10" s="6">
        <v>-2.8</v>
      </c>
      <c r="Q10" t="str">
        <f t="shared" si="3"/>
        <v>-77.7</v>
      </c>
      <c r="R10" t="str">
        <f t="shared" si="4"/>
        <v>-72.8</v>
      </c>
      <c r="S10" t="str">
        <f t="shared" si="6"/>
        <v>-77,7</v>
      </c>
      <c r="T10" t="str">
        <f t="shared" si="7"/>
        <v>-72,8</v>
      </c>
      <c r="V10" s="6">
        <v>-77.7</v>
      </c>
      <c r="W10" s="6">
        <v>-72.8</v>
      </c>
    </row>
    <row r="11" spans="1:23" ht="16.5" thickTop="1" thickBot="1" x14ac:dyDescent="0.3">
      <c r="A11" s="2" t="s">
        <v>10</v>
      </c>
      <c r="B11" s="2" t="s">
        <v>18</v>
      </c>
      <c r="C11" t="str">
        <f t="shared" ref="C11:C17" si="8">LEFT(A11,SEARCH(" ",A11))</f>
        <v xml:space="preserve">12 </v>
      </c>
      <c r="D11" t="str">
        <f t="shared" ref="D11:D17" si="9">LEFT(B11,SEARCH(" ",B11))</f>
        <v xml:space="preserve">9.9 </v>
      </c>
      <c r="E11" s="5" t="str">
        <f t="shared" si="5"/>
        <v xml:space="preserve">12 </v>
      </c>
      <c r="F11" s="5" t="str">
        <f t="shared" si="2"/>
        <v xml:space="preserve">9,9 </v>
      </c>
      <c r="H11" s="6">
        <v>12</v>
      </c>
      <c r="I11" s="6">
        <v>9.9</v>
      </c>
      <c r="Q11" t="str">
        <f t="shared" si="3"/>
        <v>-38</v>
      </c>
      <c r="R11" t="str">
        <f t="shared" si="4"/>
        <v>-40.1</v>
      </c>
      <c r="S11" t="str">
        <f t="shared" si="6"/>
        <v>-38</v>
      </c>
      <c r="T11" t="str">
        <f t="shared" si="7"/>
        <v>-40,1</v>
      </c>
      <c r="V11" s="6">
        <v>-38</v>
      </c>
      <c r="W11" s="6">
        <v>-40.1</v>
      </c>
    </row>
    <row r="12" spans="1:23" ht="15.75" thickBot="1" x14ac:dyDescent="0.3">
      <c r="A12" s="2" t="s">
        <v>11</v>
      </c>
      <c r="B12" s="2" t="s">
        <v>19</v>
      </c>
      <c r="C12" t="str">
        <f t="shared" si="8"/>
        <v xml:space="preserve">36.9 </v>
      </c>
      <c r="D12" t="str">
        <f t="shared" si="9"/>
        <v xml:space="preserve">41.5 </v>
      </c>
      <c r="E12" s="5" t="str">
        <f t="shared" si="5"/>
        <v xml:space="preserve">36,9 </v>
      </c>
      <c r="F12" s="5" t="str">
        <f t="shared" si="2"/>
        <v xml:space="preserve">41,5 </v>
      </c>
      <c r="H12" s="6">
        <v>36.9</v>
      </c>
      <c r="I12" s="6">
        <v>41.5</v>
      </c>
      <c r="Q12" t="str">
        <f t="shared" si="3"/>
        <v>-8.1</v>
      </c>
      <c r="R12" t="str">
        <f t="shared" si="4"/>
        <v>-3.5</v>
      </c>
      <c r="S12" t="str">
        <f t="shared" si="6"/>
        <v>-8,1</v>
      </c>
      <c r="T12" t="str">
        <f t="shared" si="7"/>
        <v>-3,5</v>
      </c>
      <c r="V12" s="6">
        <v>-8.1</v>
      </c>
      <c r="W12" s="6">
        <v>-3.5</v>
      </c>
    </row>
    <row r="13" spans="1:23" ht="15.75" thickBot="1" x14ac:dyDescent="0.3">
      <c r="A13" s="3" t="s">
        <v>12</v>
      </c>
      <c r="B13" s="4" t="s">
        <v>20</v>
      </c>
      <c r="C13" t="str">
        <f t="shared" si="8"/>
        <v xml:space="preserve">43.9 </v>
      </c>
      <c r="D13" t="str">
        <f t="shared" si="9"/>
        <v xml:space="preserve">37.8 </v>
      </c>
      <c r="E13" s="5" t="str">
        <f t="shared" si="5"/>
        <v xml:space="preserve">43,9 </v>
      </c>
      <c r="F13" s="5" t="str">
        <f t="shared" si="2"/>
        <v xml:space="preserve">37,8 </v>
      </c>
      <c r="H13" s="6">
        <v>43.9</v>
      </c>
      <c r="I13" s="6">
        <v>37.799999999999997</v>
      </c>
      <c r="Q13" t="str">
        <f t="shared" si="3"/>
        <v>7.9</v>
      </c>
      <c r="R13" t="str">
        <f t="shared" si="4"/>
        <v>1.8</v>
      </c>
      <c r="S13" t="str">
        <f t="shared" si="6"/>
        <v>7,9</v>
      </c>
      <c r="T13" t="str">
        <f t="shared" si="7"/>
        <v>1,8</v>
      </c>
      <c r="V13" s="6">
        <v>7.9</v>
      </c>
      <c r="W13" s="6">
        <v>1.8</v>
      </c>
    </row>
    <row r="14" spans="1:23" ht="15.75" thickBot="1" x14ac:dyDescent="0.3">
      <c r="A14" s="7" t="s">
        <v>13</v>
      </c>
      <c r="B14" s="3" t="s">
        <v>21</v>
      </c>
      <c r="C14" t="str">
        <f t="shared" si="8"/>
        <v xml:space="preserve">46.2 </v>
      </c>
      <c r="D14" t="str">
        <f t="shared" si="9"/>
        <v xml:space="preserve">40.6 </v>
      </c>
      <c r="E14" s="5" t="str">
        <f t="shared" si="5"/>
        <v xml:space="preserve">46,2 </v>
      </c>
      <c r="F14" s="5" t="str">
        <f t="shared" si="2"/>
        <v xml:space="preserve">40,6 </v>
      </c>
      <c r="H14" s="6">
        <v>46.2</v>
      </c>
      <c r="I14" s="6">
        <v>40.6</v>
      </c>
      <c r="Q14" t="str">
        <f t="shared" si="3"/>
        <v>10.2</v>
      </c>
      <c r="R14" t="str">
        <f t="shared" si="4"/>
        <v>4.6</v>
      </c>
      <c r="S14" t="str">
        <f t="shared" ref="S14:S77" si="10">IFERROR(REPLACE(Q14,SEARCH(".",Q14),1,","),Q14)</f>
        <v>10,2</v>
      </c>
      <c r="T14" t="str">
        <f t="shared" ref="T14:T77" si="11">IFERROR(REPLACE(R14,SEARCH(".",R14),1,","),R14)</f>
        <v>4,6</v>
      </c>
      <c r="V14" s="6">
        <v>10.199999999999999</v>
      </c>
      <c r="W14" s="6">
        <v>4.5999999999999996</v>
      </c>
    </row>
    <row r="15" spans="1:23" ht="15.75" thickBot="1" x14ac:dyDescent="0.3">
      <c r="A15" s="7" t="s">
        <v>14</v>
      </c>
      <c r="B15" s="3" t="s">
        <v>22</v>
      </c>
      <c r="C15" t="str">
        <f t="shared" si="8"/>
        <v xml:space="preserve">50 </v>
      </c>
      <c r="D15" t="str">
        <f t="shared" si="9"/>
        <v xml:space="preserve">43 </v>
      </c>
      <c r="E15" s="5" t="str">
        <f t="shared" si="5"/>
        <v xml:space="preserve">50 </v>
      </c>
      <c r="F15" s="5" t="str">
        <f t="shared" si="2"/>
        <v xml:space="preserve">43 </v>
      </c>
      <c r="H15" s="6">
        <v>50</v>
      </c>
      <c r="I15" s="6">
        <v>43</v>
      </c>
      <c r="Q15" t="str">
        <f t="shared" si="3"/>
        <v>14</v>
      </c>
      <c r="R15" t="str">
        <f t="shared" si="4"/>
        <v>7</v>
      </c>
      <c r="S15" t="str">
        <f t="shared" si="10"/>
        <v>14</v>
      </c>
      <c r="T15" t="str">
        <f t="shared" si="11"/>
        <v>7</v>
      </c>
      <c r="V15" s="6">
        <v>14</v>
      </c>
      <c r="W15" s="6">
        <v>7</v>
      </c>
    </row>
    <row r="16" spans="1:23" ht="15.75" thickBot="1" x14ac:dyDescent="0.3">
      <c r="A16" s="7" t="s">
        <v>15</v>
      </c>
      <c r="B16" s="7" t="s">
        <v>23</v>
      </c>
      <c r="C16" t="str">
        <f t="shared" si="8"/>
        <v xml:space="preserve">50 </v>
      </c>
      <c r="D16" t="str">
        <f t="shared" si="9"/>
        <v xml:space="preserve">43 </v>
      </c>
      <c r="E16" s="5" t="str">
        <f t="shared" si="5"/>
        <v xml:space="preserve">50 </v>
      </c>
      <c r="F16" s="5" t="str">
        <f t="shared" si="2"/>
        <v xml:space="preserve">43 </v>
      </c>
      <c r="H16" s="6">
        <v>50</v>
      </c>
      <c r="I16" s="6">
        <v>43</v>
      </c>
      <c r="Q16" t="str">
        <f t="shared" si="3"/>
        <v>20</v>
      </c>
      <c r="R16" t="str">
        <f t="shared" si="4"/>
        <v>13</v>
      </c>
      <c r="S16" t="str">
        <f t="shared" si="10"/>
        <v>20</v>
      </c>
      <c r="T16" t="str">
        <f t="shared" si="11"/>
        <v>13</v>
      </c>
      <c r="V16" s="6">
        <v>20</v>
      </c>
      <c r="W16" s="6">
        <v>13</v>
      </c>
    </row>
    <row r="17" spans="1:23" ht="15.75" thickBot="1" x14ac:dyDescent="0.3">
      <c r="A17" s="7" t="s">
        <v>16</v>
      </c>
      <c r="B17" s="7" t="s">
        <v>23</v>
      </c>
      <c r="C17" t="str">
        <f t="shared" si="8"/>
        <v xml:space="preserve">49.7 </v>
      </c>
      <c r="D17" t="str">
        <f t="shared" si="9"/>
        <v xml:space="preserve">43 </v>
      </c>
      <c r="E17" s="5" t="str">
        <f t="shared" si="5"/>
        <v xml:space="preserve">49,7 </v>
      </c>
      <c r="F17" s="5" t="str">
        <f t="shared" si="2"/>
        <v xml:space="preserve">43 </v>
      </c>
      <c r="H17" s="6">
        <v>49.7</v>
      </c>
      <c r="I17" s="6">
        <v>43</v>
      </c>
      <c r="Q17" t="str">
        <f t="shared" si="3"/>
        <v>19.7</v>
      </c>
      <c r="R17" t="str">
        <f t="shared" si="4"/>
        <v>13</v>
      </c>
      <c r="S17" t="str">
        <f t="shared" si="10"/>
        <v>19,7</v>
      </c>
      <c r="T17" t="str">
        <f t="shared" si="11"/>
        <v>13</v>
      </c>
      <c r="V17" s="6">
        <v>19.7</v>
      </c>
      <c r="W17" s="6">
        <v>13</v>
      </c>
    </row>
    <row r="18" spans="1:23" ht="15.75" thickBot="1" x14ac:dyDescent="0.3">
      <c r="A18" s="1" t="s">
        <v>32</v>
      </c>
      <c r="B18" s="1" t="s">
        <v>39</v>
      </c>
      <c r="C18" t="str">
        <f t="shared" ref="C18:C44" si="12">LEFT(A18,SEARCH(" ",A18))</f>
        <v xml:space="preserve">-9 </v>
      </c>
      <c r="D18" t="str">
        <f t="shared" ref="D18:D44" si="13">LEFT(B18,SEARCH(" ",B18))</f>
        <v xml:space="preserve">-4.2 </v>
      </c>
      <c r="E18" s="5" t="str">
        <f t="shared" si="5"/>
        <v xml:space="preserve">-9 </v>
      </c>
      <c r="F18" s="5" t="str">
        <f t="shared" si="2"/>
        <v xml:space="preserve">-4,2 </v>
      </c>
      <c r="H18" s="6">
        <v>-9</v>
      </c>
      <c r="I18" s="6">
        <v>-4.2</v>
      </c>
      <c r="Q18" t="str">
        <f t="shared" si="3"/>
        <v>-79</v>
      </c>
      <c r="R18" t="str">
        <f t="shared" si="4"/>
        <v>-74.2</v>
      </c>
      <c r="S18" t="str">
        <f t="shared" si="10"/>
        <v>-79</v>
      </c>
      <c r="T18" t="str">
        <f t="shared" si="11"/>
        <v>-74,2</v>
      </c>
      <c r="V18" s="6">
        <v>-79</v>
      </c>
      <c r="W18" s="6">
        <v>-74.2</v>
      </c>
    </row>
    <row r="19" spans="1:23" ht="16.5" thickTop="1" thickBot="1" x14ac:dyDescent="0.3">
      <c r="A19" s="2" t="s">
        <v>33</v>
      </c>
      <c r="B19" s="2" t="s">
        <v>40</v>
      </c>
      <c r="C19" t="str">
        <f t="shared" si="12"/>
        <v xml:space="preserve">10.8 </v>
      </c>
      <c r="D19" t="str">
        <f t="shared" si="13"/>
        <v xml:space="preserve">9.7 </v>
      </c>
      <c r="E19" s="5" t="str">
        <f t="shared" si="5"/>
        <v xml:space="preserve">10,8 </v>
      </c>
      <c r="F19" s="5" t="str">
        <f t="shared" si="2"/>
        <v xml:space="preserve">9,7 </v>
      </c>
      <c r="H19" s="6">
        <v>10.8</v>
      </c>
      <c r="I19" s="6">
        <v>9.6999999999999993</v>
      </c>
      <c r="Q19" t="str">
        <f t="shared" si="3"/>
        <v>-39.2</v>
      </c>
      <c r="R19" t="str">
        <f t="shared" si="4"/>
        <v>-40.3</v>
      </c>
      <c r="S19" t="str">
        <f t="shared" si="10"/>
        <v>-39,2</v>
      </c>
      <c r="T19" t="str">
        <f t="shared" si="11"/>
        <v>-40,3</v>
      </c>
      <c r="V19" s="6">
        <v>-39.200000000000003</v>
      </c>
      <c r="W19" s="6">
        <v>-40.299999999999997</v>
      </c>
    </row>
    <row r="20" spans="1:23" ht="15.75" thickBot="1" x14ac:dyDescent="0.3">
      <c r="A20" s="2" t="s">
        <v>34</v>
      </c>
      <c r="B20" s="2" t="s">
        <v>41</v>
      </c>
      <c r="C20" t="str">
        <f t="shared" si="12"/>
        <v xml:space="preserve">40.9 </v>
      </c>
      <c r="D20" t="str">
        <f t="shared" si="13"/>
        <v xml:space="preserve">42.1 </v>
      </c>
      <c r="E20" s="5" t="str">
        <f t="shared" si="5"/>
        <v xml:space="preserve">40,9 </v>
      </c>
      <c r="F20" s="5" t="str">
        <f t="shared" si="2"/>
        <v xml:space="preserve">42,1 </v>
      </c>
      <c r="H20" s="6">
        <v>40.9</v>
      </c>
      <c r="I20" s="6">
        <v>42.1</v>
      </c>
      <c r="Q20" t="str">
        <f t="shared" si="3"/>
        <v>-4.1</v>
      </c>
      <c r="R20" t="str">
        <f t="shared" si="4"/>
        <v>-2.9</v>
      </c>
      <c r="S20" t="str">
        <f t="shared" si="10"/>
        <v>-4,1</v>
      </c>
      <c r="T20" t="str">
        <f t="shared" si="11"/>
        <v>-2,9</v>
      </c>
      <c r="V20" s="6">
        <v>-4.0999999999999996</v>
      </c>
      <c r="W20" s="6">
        <v>-2.9</v>
      </c>
    </row>
    <row r="21" spans="1:23" ht="15.75" thickBot="1" x14ac:dyDescent="0.3">
      <c r="A21" s="3" t="s">
        <v>35</v>
      </c>
      <c r="B21" s="4" t="s">
        <v>42</v>
      </c>
      <c r="C21" t="str">
        <f t="shared" si="12"/>
        <v xml:space="preserve">43.2 </v>
      </c>
      <c r="D21" t="str">
        <f t="shared" si="13"/>
        <v xml:space="preserve">38.3 </v>
      </c>
      <c r="E21" s="5" t="str">
        <f t="shared" si="5"/>
        <v xml:space="preserve">43,2 </v>
      </c>
      <c r="F21" s="5" t="str">
        <f t="shared" si="2"/>
        <v xml:space="preserve">38,3 </v>
      </c>
      <c r="H21" s="6">
        <v>43.2</v>
      </c>
      <c r="I21" s="6">
        <v>38.299999999999997</v>
      </c>
      <c r="Q21" t="str">
        <f t="shared" si="3"/>
        <v>7.2</v>
      </c>
      <c r="R21" t="str">
        <f t="shared" si="4"/>
        <v>2.3</v>
      </c>
      <c r="S21" t="str">
        <f t="shared" si="10"/>
        <v>7,2</v>
      </c>
      <c r="T21" t="str">
        <f t="shared" si="11"/>
        <v>2,3</v>
      </c>
      <c r="V21" s="6">
        <v>7.2</v>
      </c>
      <c r="W21" s="6">
        <v>2.2999999999999998</v>
      </c>
    </row>
    <row r="22" spans="1:23" ht="15.75" thickBot="1" x14ac:dyDescent="0.3">
      <c r="A22" s="7" t="s">
        <v>36</v>
      </c>
      <c r="B22" s="3" t="s">
        <v>3</v>
      </c>
      <c r="C22" t="str">
        <f t="shared" si="12"/>
        <v xml:space="preserve">46.1 </v>
      </c>
      <c r="D22" t="str">
        <f t="shared" si="13"/>
        <v xml:space="preserve">42.3 </v>
      </c>
      <c r="E22" s="5" t="str">
        <f t="shared" si="5"/>
        <v xml:space="preserve">46,1 </v>
      </c>
      <c r="F22" s="5" t="str">
        <f t="shared" si="2"/>
        <v xml:space="preserve">42,3 </v>
      </c>
      <c r="H22" s="6">
        <v>46.1</v>
      </c>
      <c r="I22" s="6">
        <v>42.3</v>
      </c>
      <c r="Q22" t="str">
        <f t="shared" si="3"/>
        <v>10.1</v>
      </c>
      <c r="R22" t="str">
        <f t="shared" si="4"/>
        <v>6.3</v>
      </c>
      <c r="S22" t="str">
        <f t="shared" si="10"/>
        <v>10,1</v>
      </c>
      <c r="T22" t="str">
        <f t="shared" si="11"/>
        <v>6,3</v>
      </c>
      <c r="V22" s="6">
        <v>10.1</v>
      </c>
      <c r="W22" s="6">
        <v>6.3</v>
      </c>
    </row>
    <row r="23" spans="1:23" ht="15.75" thickBot="1" x14ac:dyDescent="0.3">
      <c r="A23" s="7" t="s">
        <v>37</v>
      </c>
      <c r="B23" s="3" t="s">
        <v>43</v>
      </c>
      <c r="C23" t="str">
        <f t="shared" si="12"/>
        <v xml:space="preserve">49.7 </v>
      </c>
      <c r="D23" t="str">
        <f t="shared" si="13"/>
        <v xml:space="preserve">47.2 </v>
      </c>
      <c r="E23" s="5" t="str">
        <f t="shared" si="5"/>
        <v xml:space="preserve">49,7 </v>
      </c>
      <c r="F23" s="5" t="str">
        <f t="shared" si="2"/>
        <v xml:space="preserve">47,2 </v>
      </c>
      <c r="H23" s="6">
        <v>49.7</v>
      </c>
      <c r="I23" s="6">
        <v>47.2</v>
      </c>
      <c r="Q23" t="str">
        <f t="shared" si="3"/>
        <v>13.7</v>
      </c>
      <c r="R23" t="str">
        <f t="shared" si="4"/>
        <v>11.2</v>
      </c>
      <c r="S23" t="str">
        <f t="shared" si="10"/>
        <v>13,7</v>
      </c>
      <c r="T23" t="str">
        <f t="shared" si="11"/>
        <v>11,2</v>
      </c>
      <c r="V23" s="6">
        <v>13.7</v>
      </c>
      <c r="W23" s="6">
        <v>11.2</v>
      </c>
    </row>
    <row r="24" spans="1:23" ht="15.75" thickBot="1" x14ac:dyDescent="0.3">
      <c r="A24" s="7" t="s">
        <v>16</v>
      </c>
      <c r="B24" s="7" t="s">
        <v>44</v>
      </c>
      <c r="C24" t="str">
        <f t="shared" si="12"/>
        <v xml:space="preserve">49.7 </v>
      </c>
      <c r="D24" t="str">
        <f t="shared" si="13"/>
        <v xml:space="preserve">47.2 </v>
      </c>
      <c r="E24" s="5" t="str">
        <f t="shared" si="5"/>
        <v xml:space="preserve">49,7 </v>
      </c>
      <c r="F24" s="5" t="str">
        <f t="shared" si="2"/>
        <v xml:space="preserve">47,2 </v>
      </c>
      <c r="H24" s="6">
        <v>49.7</v>
      </c>
      <c r="I24" s="6">
        <v>47.2</v>
      </c>
      <c r="Q24" t="str">
        <f t="shared" si="3"/>
        <v>19.7</v>
      </c>
      <c r="R24" t="str">
        <f t="shared" si="4"/>
        <v>17.2</v>
      </c>
      <c r="S24" t="str">
        <f t="shared" si="10"/>
        <v>19,7</v>
      </c>
      <c r="T24" t="str">
        <f t="shared" si="11"/>
        <v>17,2</v>
      </c>
      <c r="V24" s="6">
        <v>19.7</v>
      </c>
      <c r="W24" s="6">
        <v>17.2</v>
      </c>
    </row>
    <row r="25" spans="1:23" ht="15.75" thickBot="1" x14ac:dyDescent="0.3">
      <c r="A25" s="7" t="s">
        <v>38</v>
      </c>
      <c r="B25" s="7" t="s">
        <v>44</v>
      </c>
      <c r="C25" t="str">
        <f t="shared" si="12"/>
        <v xml:space="preserve">49.6 </v>
      </c>
      <c r="D25" t="str">
        <f t="shared" si="13"/>
        <v xml:space="preserve">47.2 </v>
      </c>
      <c r="E25" s="5" t="str">
        <f t="shared" si="5"/>
        <v xml:space="preserve">49,6 </v>
      </c>
      <c r="F25" s="5" t="str">
        <f t="shared" si="2"/>
        <v xml:space="preserve">47,2 </v>
      </c>
      <c r="H25" s="6">
        <v>49.6</v>
      </c>
      <c r="I25" s="6">
        <v>47.2</v>
      </c>
      <c r="Q25" t="str">
        <f t="shared" si="3"/>
        <v>19.6</v>
      </c>
      <c r="R25" t="str">
        <f t="shared" si="4"/>
        <v>17.2</v>
      </c>
      <c r="S25" t="str">
        <f t="shared" si="10"/>
        <v>19,6</v>
      </c>
      <c r="T25" t="str">
        <f t="shared" si="11"/>
        <v>17,2</v>
      </c>
      <c r="V25" s="6">
        <v>19.600000000000001</v>
      </c>
      <c r="W25" s="6">
        <v>17.2</v>
      </c>
    </row>
    <row r="26" spans="1:23" ht="15.75" thickBot="1" x14ac:dyDescent="0.3">
      <c r="A26" s="1" t="s">
        <v>45</v>
      </c>
      <c r="B26" s="1" t="s">
        <v>45</v>
      </c>
      <c r="C26" t="str">
        <f t="shared" si="12"/>
        <v xml:space="preserve">1.6 </v>
      </c>
      <c r="D26" t="str">
        <f t="shared" si="13"/>
        <v xml:space="preserve">1.6 </v>
      </c>
      <c r="E26" s="5" t="str">
        <f t="shared" si="5"/>
        <v xml:space="preserve">1,6 </v>
      </c>
      <c r="F26" s="5" t="str">
        <f t="shared" si="2"/>
        <v xml:space="preserve">1,6 </v>
      </c>
      <c r="H26" s="6">
        <v>1.6</v>
      </c>
      <c r="I26" s="6">
        <v>1.6</v>
      </c>
      <c r="Q26" t="str">
        <f t="shared" si="3"/>
        <v>-44.4</v>
      </c>
      <c r="R26" t="str">
        <f t="shared" si="4"/>
        <v>-44.4</v>
      </c>
      <c r="S26" t="str">
        <f t="shared" si="10"/>
        <v>-44,4</v>
      </c>
      <c r="T26" t="str">
        <f t="shared" si="11"/>
        <v>-44,4</v>
      </c>
      <c r="V26" s="6">
        <v>-44.4</v>
      </c>
      <c r="W26" s="6">
        <v>-44.4</v>
      </c>
    </row>
    <row r="27" spans="1:23" ht="16.5" thickTop="1" thickBot="1" x14ac:dyDescent="0.3">
      <c r="A27" s="2" t="s">
        <v>46</v>
      </c>
      <c r="B27" s="2" t="s">
        <v>63</v>
      </c>
      <c r="C27" t="str">
        <f t="shared" si="12"/>
        <v xml:space="preserve">-6.6 </v>
      </c>
      <c r="D27" t="str">
        <f t="shared" si="13"/>
        <v xml:space="preserve">-7.1 </v>
      </c>
      <c r="E27" s="5" t="str">
        <f t="shared" si="5"/>
        <v xml:space="preserve">-6,6 </v>
      </c>
      <c r="F27" s="5" t="str">
        <f t="shared" si="2"/>
        <v xml:space="preserve">-7,1 </v>
      </c>
      <c r="H27" s="6">
        <v>-6.6</v>
      </c>
      <c r="I27" s="6">
        <v>-7.1</v>
      </c>
      <c r="Q27" t="str">
        <f t="shared" si="3"/>
        <v>-42.6</v>
      </c>
      <c r="R27" t="str">
        <f t="shared" si="4"/>
        <v>-43.1</v>
      </c>
      <c r="S27" t="str">
        <f t="shared" si="10"/>
        <v>-42,6</v>
      </c>
      <c r="T27" t="str">
        <f t="shared" si="11"/>
        <v>-43,1</v>
      </c>
      <c r="V27" s="6">
        <v>-42.6</v>
      </c>
      <c r="W27" s="6">
        <v>-43.1</v>
      </c>
    </row>
    <row r="28" spans="1:23" ht="15.75" thickBot="1" x14ac:dyDescent="0.3">
      <c r="A28" s="2" t="s">
        <v>47</v>
      </c>
      <c r="B28" s="2" t="s">
        <v>64</v>
      </c>
      <c r="C28" t="str">
        <f t="shared" si="12"/>
        <v xml:space="preserve">18.5 </v>
      </c>
      <c r="D28" t="str">
        <f t="shared" si="13"/>
        <v xml:space="preserve">15 </v>
      </c>
      <c r="E28" s="5" t="str">
        <f t="shared" si="5"/>
        <v xml:space="preserve">18,5 </v>
      </c>
      <c r="F28" s="5" t="str">
        <f t="shared" si="2"/>
        <v xml:space="preserve">15 </v>
      </c>
      <c r="H28" s="6">
        <v>18.5</v>
      </c>
      <c r="I28" s="6">
        <v>15</v>
      </c>
      <c r="Q28" t="str">
        <f t="shared" si="3"/>
        <v>-13.5</v>
      </c>
      <c r="R28" t="str">
        <f t="shared" si="4"/>
        <v>-17</v>
      </c>
      <c r="S28" t="str">
        <f t="shared" si="10"/>
        <v>-13,5</v>
      </c>
      <c r="T28" t="str">
        <f t="shared" si="11"/>
        <v>-17</v>
      </c>
      <c r="V28" s="6">
        <v>-13.5</v>
      </c>
      <c r="W28" s="6">
        <v>-17</v>
      </c>
    </row>
    <row r="29" spans="1:23" ht="15.75" thickBot="1" x14ac:dyDescent="0.3">
      <c r="A29" s="2" t="s">
        <v>48</v>
      </c>
      <c r="B29" s="2" t="s">
        <v>65</v>
      </c>
      <c r="C29" t="str">
        <f t="shared" si="12"/>
        <v xml:space="preserve">24 </v>
      </c>
      <c r="D29" t="str">
        <f t="shared" si="13"/>
        <v xml:space="preserve">19.1 </v>
      </c>
      <c r="E29" s="5" t="str">
        <f t="shared" si="5"/>
        <v xml:space="preserve">24 </v>
      </c>
      <c r="F29" s="5" t="str">
        <f t="shared" si="2"/>
        <v xml:space="preserve">19,1 </v>
      </c>
      <c r="H29" s="6">
        <v>24</v>
      </c>
      <c r="I29" s="6">
        <v>19.100000000000001</v>
      </c>
      <c r="Q29" t="str">
        <f t="shared" si="3"/>
        <v>-6</v>
      </c>
      <c r="R29" t="str">
        <f t="shared" si="4"/>
        <v>-10.9</v>
      </c>
      <c r="S29" t="str">
        <f t="shared" si="10"/>
        <v>-6</v>
      </c>
      <c r="T29" t="str">
        <f t="shared" si="11"/>
        <v>-10,9</v>
      </c>
      <c r="V29" s="6">
        <v>-6</v>
      </c>
      <c r="W29" s="6">
        <v>-10.9</v>
      </c>
    </row>
    <row r="30" spans="1:23" ht="15.75" thickBot="1" x14ac:dyDescent="0.3">
      <c r="A30" s="2" t="s">
        <v>49</v>
      </c>
      <c r="B30" s="2" t="s">
        <v>66</v>
      </c>
      <c r="C30" t="str">
        <f t="shared" si="12"/>
        <v xml:space="preserve">18.2 </v>
      </c>
      <c r="D30" t="str">
        <f t="shared" si="13"/>
        <v xml:space="preserve">14.6 </v>
      </c>
      <c r="E30" s="5" t="str">
        <f t="shared" si="5"/>
        <v xml:space="preserve">18,2 </v>
      </c>
      <c r="F30" s="5" t="str">
        <f t="shared" si="2"/>
        <v xml:space="preserve">14,6 </v>
      </c>
      <c r="H30" s="6">
        <v>18.2</v>
      </c>
      <c r="I30" s="6">
        <v>14.6</v>
      </c>
      <c r="Q30" t="str">
        <f t="shared" si="3"/>
        <v>-11.8</v>
      </c>
      <c r="R30" t="str">
        <f t="shared" si="4"/>
        <v>-15.4</v>
      </c>
      <c r="S30" t="str">
        <f t="shared" si="10"/>
        <v>-11,8</v>
      </c>
      <c r="T30" t="str">
        <f t="shared" si="11"/>
        <v>-15,4</v>
      </c>
      <c r="V30" s="6">
        <v>-11.8</v>
      </c>
      <c r="W30" s="6">
        <v>-15.4</v>
      </c>
    </row>
    <row r="31" spans="1:23" ht="15.75" thickBot="1" x14ac:dyDescent="0.3">
      <c r="A31" s="3" t="s">
        <v>50</v>
      </c>
      <c r="B31" s="4" t="s">
        <v>67</v>
      </c>
      <c r="C31" t="str">
        <f t="shared" si="12"/>
        <v xml:space="preserve">31 </v>
      </c>
      <c r="D31" t="str">
        <f t="shared" si="13"/>
        <v xml:space="preserve">29.9 </v>
      </c>
      <c r="E31" s="5" t="str">
        <f t="shared" si="5"/>
        <v xml:space="preserve">31 </v>
      </c>
      <c r="F31" s="5" t="str">
        <f t="shared" si="2"/>
        <v xml:space="preserve">29,9 </v>
      </c>
      <c r="H31" s="6">
        <v>31</v>
      </c>
      <c r="I31" s="6">
        <v>29.9</v>
      </c>
      <c r="Q31" t="str">
        <f t="shared" si="3"/>
        <v>3</v>
      </c>
      <c r="R31" t="str">
        <f t="shared" si="4"/>
        <v>1.9</v>
      </c>
      <c r="S31" t="str">
        <f t="shared" si="10"/>
        <v>3</v>
      </c>
      <c r="T31" t="str">
        <f t="shared" si="11"/>
        <v>1,9</v>
      </c>
      <c r="V31" s="6">
        <v>3</v>
      </c>
      <c r="W31" s="6">
        <v>1.9</v>
      </c>
    </row>
    <row r="32" spans="1:23" ht="15.75" thickBot="1" x14ac:dyDescent="0.3">
      <c r="A32" s="2" t="s">
        <v>51</v>
      </c>
      <c r="B32" s="2" t="s">
        <v>68</v>
      </c>
      <c r="C32" t="str">
        <f t="shared" si="12"/>
        <v xml:space="preserve">29.9 </v>
      </c>
      <c r="D32" t="str">
        <f t="shared" si="13"/>
        <v xml:space="preserve">21.4 </v>
      </c>
      <c r="E32" s="5" t="str">
        <f t="shared" si="5"/>
        <v xml:space="preserve">29,9 </v>
      </c>
      <c r="F32" s="5" t="str">
        <f t="shared" si="2"/>
        <v xml:space="preserve">21,4 </v>
      </c>
      <c r="H32" s="6">
        <v>29.9</v>
      </c>
      <c r="I32" s="6">
        <v>21.4</v>
      </c>
      <c r="Q32" t="str">
        <f t="shared" si="3"/>
        <v>-4.1</v>
      </c>
      <c r="R32" t="str">
        <f t="shared" si="4"/>
        <v>-12.6</v>
      </c>
      <c r="S32" t="str">
        <f t="shared" si="10"/>
        <v>-4,1</v>
      </c>
      <c r="T32" t="str">
        <f t="shared" si="11"/>
        <v>-12,6</v>
      </c>
      <c r="V32" s="6">
        <v>-4.0999999999999996</v>
      </c>
      <c r="W32" s="6">
        <v>-12.6</v>
      </c>
    </row>
    <row r="33" spans="1:23" ht="15.75" thickBot="1" x14ac:dyDescent="0.3">
      <c r="A33" s="2" t="s">
        <v>52</v>
      </c>
      <c r="B33" s="2" t="s">
        <v>69</v>
      </c>
      <c r="C33" t="str">
        <f t="shared" si="12"/>
        <v xml:space="preserve">17.5 </v>
      </c>
      <c r="D33" t="str">
        <f t="shared" si="13"/>
        <v xml:space="preserve">14.7 </v>
      </c>
      <c r="E33" s="5" t="str">
        <f t="shared" si="5"/>
        <v xml:space="preserve">17,5 </v>
      </c>
      <c r="F33" s="5" t="str">
        <f t="shared" si="2"/>
        <v xml:space="preserve">14,7 </v>
      </c>
      <c r="H33" s="6">
        <v>17.5</v>
      </c>
      <c r="I33" s="6">
        <v>14.7</v>
      </c>
      <c r="Q33" t="str">
        <f t="shared" si="3"/>
        <v>-25.5</v>
      </c>
      <c r="R33" t="str">
        <f t="shared" si="4"/>
        <v>-28.3</v>
      </c>
      <c r="S33" t="str">
        <f t="shared" si="10"/>
        <v>-25,5</v>
      </c>
      <c r="T33" t="str">
        <f t="shared" si="11"/>
        <v>-28,3</v>
      </c>
      <c r="V33" s="6">
        <v>-25.5</v>
      </c>
      <c r="W33" s="6">
        <v>-28.3</v>
      </c>
    </row>
    <row r="34" spans="1:23" ht="15.75" thickBot="1" x14ac:dyDescent="0.3">
      <c r="A34" s="2" t="s">
        <v>53</v>
      </c>
      <c r="B34" s="2" t="s">
        <v>70</v>
      </c>
      <c r="C34" t="str">
        <f t="shared" si="12"/>
        <v xml:space="preserve">17.5 </v>
      </c>
      <c r="D34" t="str">
        <f t="shared" si="13"/>
        <v xml:space="preserve">14.7 </v>
      </c>
      <c r="E34" s="5" t="str">
        <f t="shared" ref="E34:E63" si="14">IFERROR(REPLACE(C34,SEARCH(".",C34),1,","),C34)</f>
        <v xml:space="preserve">17,5 </v>
      </c>
      <c r="F34" s="5" t="str">
        <f t="shared" ref="F34:F63" si="15">IFERROR(REPLACE(D34,SEARCH(".",D34),1,","),D34)</f>
        <v xml:space="preserve">14,7 </v>
      </c>
      <c r="H34" s="6">
        <v>17.5</v>
      </c>
      <c r="I34" s="6">
        <v>14.7</v>
      </c>
      <c r="Q34" t="str">
        <f t="shared" ref="Q34:Q65" si="16">MID(A34,SEARCH("(",A34)+1,LEN(A34)-SEARCH("(",A34)-2)</f>
        <v>-29.5</v>
      </c>
      <c r="R34" t="str">
        <f t="shared" ref="R34:R65" si="17">MID(B34,SEARCH("(",B34)+1,LEN(B34)-SEARCH("(",B34)-2)</f>
        <v>-32.3</v>
      </c>
      <c r="S34" t="str">
        <f t="shared" si="10"/>
        <v>-29,5</v>
      </c>
      <c r="T34" t="str">
        <f t="shared" si="11"/>
        <v>-32,3</v>
      </c>
      <c r="V34" s="6">
        <v>-29.5</v>
      </c>
      <c r="W34" s="6">
        <v>-32.299999999999997</v>
      </c>
    </row>
    <row r="35" spans="1:23" ht="15.75" thickBot="1" x14ac:dyDescent="0.3">
      <c r="A35" s="9" t="s">
        <v>54</v>
      </c>
      <c r="B35" s="10" t="s">
        <v>71</v>
      </c>
      <c r="C35" t="str">
        <f t="shared" si="12"/>
        <v xml:space="preserve">38.5 </v>
      </c>
      <c r="D35" t="str">
        <f t="shared" si="13"/>
        <v xml:space="preserve">28.5 </v>
      </c>
      <c r="E35" s="5" t="str">
        <f t="shared" si="14"/>
        <v xml:space="preserve">38,5 </v>
      </c>
      <c r="F35" s="5" t="str">
        <f t="shared" si="15"/>
        <v xml:space="preserve">28,5 </v>
      </c>
      <c r="H35" s="6">
        <v>38.5</v>
      </c>
      <c r="I35" s="6">
        <v>28.5</v>
      </c>
      <c r="Q35" t="str">
        <f t="shared" si="16"/>
        <v>6.5</v>
      </c>
      <c r="R35" t="str">
        <f t="shared" si="17"/>
        <v>-3.5</v>
      </c>
      <c r="S35" t="str">
        <f t="shared" si="10"/>
        <v>6,5</v>
      </c>
      <c r="T35" t="str">
        <f t="shared" si="11"/>
        <v>-3,5</v>
      </c>
      <c r="V35" s="6">
        <v>6.5</v>
      </c>
      <c r="W35" s="6">
        <v>-3.5</v>
      </c>
    </row>
    <row r="36" spans="1:23" ht="16.5" thickTop="1" thickBot="1" x14ac:dyDescent="0.3">
      <c r="A36" s="2" t="s">
        <v>55</v>
      </c>
      <c r="B36" s="2" t="s">
        <v>72</v>
      </c>
      <c r="C36" t="str">
        <f t="shared" si="12"/>
        <v xml:space="preserve">24 </v>
      </c>
      <c r="D36" t="str">
        <f t="shared" si="13"/>
        <v xml:space="preserve">19.1 </v>
      </c>
      <c r="E36" s="5" t="str">
        <f t="shared" si="14"/>
        <v xml:space="preserve">24 </v>
      </c>
      <c r="F36" s="5" t="str">
        <f t="shared" si="15"/>
        <v xml:space="preserve">19,1 </v>
      </c>
      <c r="H36" s="6">
        <v>24</v>
      </c>
      <c r="I36" s="6">
        <v>19.100000000000001</v>
      </c>
      <c r="Q36" t="str">
        <f t="shared" si="16"/>
        <v>-8</v>
      </c>
      <c r="R36" t="str">
        <f t="shared" si="17"/>
        <v>-12.9</v>
      </c>
      <c r="S36" t="str">
        <f t="shared" si="10"/>
        <v>-8</v>
      </c>
      <c r="T36" t="str">
        <f t="shared" si="11"/>
        <v>-12,9</v>
      </c>
      <c r="V36" s="6">
        <v>-8</v>
      </c>
      <c r="W36" s="6">
        <v>-12.9</v>
      </c>
    </row>
    <row r="37" spans="1:23" ht="15.75" thickBot="1" x14ac:dyDescent="0.3">
      <c r="A37" s="2" t="s">
        <v>56</v>
      </c>
      <c r="B37" s="2" t="s">
        <v>73</v>
      </c>
      <c r="C37" t="str">
        <f t="shared" si="12"/>
        <v xml:space="preserve">21.5 </v>
      </c>
      <c r="D37" t="str">
        <f t="shared" si="13"/>
        <v xml:space="preserve">14.6 </v>
      </c>
      <c r="E37" s="5" t="str">
        <f t="shared" si="14"/>
        <v xml:space="preserve">21,5 </v>
      </c>
      <c r="F37" s="5" t="str">
        <f t="shared" si="15"/>
        <v xml:space="preserve">14,6 </v>
      </c>
      <c r="H37" s="6">
        <v>21.5</v>
      </c>
      <c r="I37" s="6">
        <v>14.6</v>
      </c>
      <c r="Q37" t="str">
        <f t="shared" si="16"/>
        <v>-5.5</v>
      </c>
      <c r="R37" t="str">
        <f t="shared" si="17"/>
        <v>-12.4</v>
      </c>
      <c r="S37" t="str">
        <f t="shared" si="10"/>
        <v>-5,5</v>
      </c>
      <c r="T37" t="str">
        <f t="shared" si="11"/>
        <v>-12,4</v>
      </c>
      <c r="V37" s="6">
        <v>-5.5</v>
      </c>
      <c r="W37" s="6">
        <v>-12.4</v>
      </c>
    </row>
    <row r="38" spans="1:23" ht="15.75" thickBot="1" x14ac:dyDescent="0.3">
      <c r="A38" s="2" t="s">
        <v>57</v>
      </c>
      <c r="B38" s="2" t="s">
        <v>74</v>
      </c>
      <c r="C38" t="str">
        <f t="shared" si="12"/>
        <v xml:space="preserve">20.8 </v>
      </c>
      <c r="D38" t="str">
        <f t="shared" si="13"/>
        <v xml:space="preserve">13.3 </v>
      </c>
      <c r="E38" s="5" t="str">
        <f t="shared" si="14"/>
        <v xml:space="preserve">20,8 </v>
      </c>
      <c r="F38" s="5" t="str">
        <f t="shared" si="15"/>
        <v xml:space="preserve">13,3 </v>
      </c>
      <c r="H38" s="6">
        <v>20.8</v>
      </c>
      <c r="I38" s="6">
        <v>13.3</v>
      </c>
      <c r="Q38" t="str">
        <f t="shared" si="16"/>
        <v>-6.2</v>
      </c>
      <c r="R38" t="str">
        <f t="shared" si="17"/>
        <v>-13.7</v>
      </c>
      <c r="S38" t="str">
        <f t="shared" si="10"/>
        <v>-6,2</v>
      </c>
      <c r="T38" t="str">
        <f t="shared" si="11"/>
        <v>-13,7</v>
      </c>
      <c r="V38" s="6">
        <v>-6.2</v>
      </c>
      <c r="W38" s="6">
        <v>-13.7</v>
      </c>
    </row>
    <row r="39" spans="1:23" ht="15.75" thickBot="1" x14ac:dyDescent="0.3">
      <c r="A39" s="4" t="s">
        <v>58</v>
      </c>
      <c r="B39" s="2" t="s">
        <v>75</v>
      </c>
      <c r="C39" t="str">
        <f t="shared" si="12"/>
        <v xml:space="preserve">31.3 </v>
      </c>
      <c r="D39" t="str">
        <f t="shared" si="13"/>
        <v xml:space="preserve">25.7 </v>
      </c>
      <c r="E39" s="5" t="str">
        <f t="shared" si="14"/>
        <v xml:space="preserve">31,3 </v>
      </c>
      <c r="F39" s="5" t="str">
        <f t="shared" si="15"/>
        <v xml:space="preserve">25,7 </v>
      </c>
      <c r="H39" s="6">
        <v>31.3</v>
      </c>
      <c r="I39" s="6">
        <v>25.7</v>
      </c>
      <c r="Q39" t="str">
        <f t="shared" si="16"/>
        <v>1.3</v>
      </c>
      <c r="R39" t="str">
        <f t="shared" si="17"/>
        <v>-4.3</v>
      </c>
      <c r="S39" t="str">
        <f t="shared" si="10"/>
        <v>1,3</v>
      </c>
      <c r="T39" t="str">
        <f t="shared" si="11"/>
        <v>-4,3</v>
      </c>
      <c r="V39" s="6">
        <v>1.3</v>
      </c>
      <c r="W39" s="6">
        <v>-4.3</v>
      </c>
    </row>
    <row r="40" spans="1:23" ht="15.75" thickBot="1" x14ac:dyDescent="0.3">
      <c r="A40" s="2" t="s">
        <v>59</v>
      </c>
      <c r="B40" s="2" t="s">
        <v>76</v>
      </c>
      <c r="C40" t="str">
        <f t="shared" si="12"/>
        <v xml:space="preserve">17.5 </v>
      </c>
      <c r="D40" t="str">
        <f t="shared" si="13"/>
        <v xml:space="preserve">12.6 </v>
      </c>
      <c r="E40" s="5" t="str">
        <f t="shared" si="14"/>
        <v xml:space="preserve">17,5 </v>
      </c>
      <c r="F40" s="5" t="str">
        <f t="shared" si="15"/>
        <v xml:space="preserve">12,6 </v>
      </c>
      <c r="H40" s="6">
        <v>17.5</v>
      </c>
      <c r="I40" s="6">
        <v>12.6</v>
      </c>
      <c r="Q40" t="str">
        <f t="shared" si="16"/>
        <v>-12.5</v>
      </c>
      <c r="R40" t="str">
        <f t="shared" si="17"/>
        <v>-17.4</v>
      </c>
      <c r="S40" t="str">
        <f t="shared" si="10"/>
        <v>-12,5</v>
      </c>
      <c r="T40" t="str">
        <f t="shared" si="11"/>
        <v>-17,4</v>
      </c>
      <c r="V40" s="6">
        <v>-12.5</v>
      </c>
      <c r="W40" s="6">
        <v>-17.399999999999999</v>
      </c>
    </row>
    <row r="41" spans="1:23" ht="15.75" thickBot="1" x14ac:dyDescent="0.3">
      <c r="A41" s="2" t="s">
        <v>60</v>
      </c>
      <c r="B41" s="2" t="s">
        <v>77</v>
      </c>
      <c r="C41" t="str">
        <f t="shared" si="12"/>
        <v xml:space="preserve">11.8 </v>
      </c>
      <c r="D41" t="str">
        <f t="shared" si="13"/>
        <v xml:space="preserve">6.4 </v>
      </c>
      <c r="E41" s="5" t="str">
        <f t="shared" si="14"/>
        <v xml:space="preserve">11,8 </v>
      </c>
      <c r="F41" s="5" t="str">
        <f t="shared" si="15"/>
        <v xml:space="preserve">6,4 </v>
      </c>
      <c r="H41" s="6">
        <v>11.8</v>
      </c>
      <c r="I41" s="6">
        <v>6.4</v>
      </c>
      <c r="Q41" t="str">
        <f t="shared" si="16"/>
        <v>-18.2</v>
      </c>
      <c r="R41" t="str">
        <f t="shared" si="17"/>
        <v>-23.6</v>
      </c>
      <c r="S41" t="str">
        <f t="shared" si="10"/>
        <v>-18,2</v>
      </c>
      <c r="T41" t="str">
        <f t="shared" si="11"/>
        <v>-23,6</v>
      </c>
      <c r="V41" s="6">
        <v>-18.2</v>
      </c>
      <c r="W41" s="6">
        <v>-23.6</v>
      </c>
    </row>
    <row r="42" spans="1:23" ht="15.75" thickBot="1" x14ac:dyDescent="0.3">
      <c r="A42" s="2" t="s">
        <v>61</v>
      </c>
      <c r="B42" s="2" t="s">
        <v>78</v>
      </c>
      <c r="C42" t="str">
        <f t="shared" si="12"/>
        <v xml:space="preserve">9.1 </v>
      </c>
      <c r="D42" t="str">
        <f t="shared" si="13"/>
        <v xml:space="preserve">11.2 </v>
      </c>
      <c r="E42" s="5" t="str">
        <f t="shared" si="14"/>
        <v xml:space="preserve">9,1 </v>
      </c>
      <c r="F42" s="5" t="str">
        <f t="shared" si="15"/>
        <v xml:space="preserve">11,2 </v>
      </c>
      <c r="H42" s="6">
        <v>9.1</v>
      </c>
      <c r="I42" s="6">
        <v>11.2</v>
      </c>
      <c r="Q42" t="str">
        <f t="shared" si="16"/>
        <v>-26.9</v>
      </c>
      <c r="R42" t="str">
        <f t="shared" si="17"/>
        <v>-24.8</v>
      </c>
      <c r="S42" t="str">
        <f t="shared" si="10"/>
        <v>-26,9</v>
      </c>
      <c r="T42" t="str">
        <f t="shared" si="11"/>
        <v>-24,8</v>
      </c>
      <c r="V42" s="6">
        <v>-26.9</v>
      </c>
      <c r="W42" s="6">
        <v>-24.8</v>
      </c>
    </row>
    <row r="43" spans="1:23" ht="15.75" thickBot="1" x14ac:dyDescent="0.3">
      <c r="A43" s="2" t="s">
        <v>62</v>
      </c>
      <c r="B43" s="2" t="s">
        <v>79</v>
      </c>
      <c r="C43" t="str">
        <f t="shared" si="12"/>
        <v xml:space="preserve">8.9 </v>
      </c>
      <c r="D43" t="str">
        <f t="shared" si="13"/>
        <v xml:space="preserve">9.6 </v>
      </c>
      <c r="E43" s="5" t="str">
        <f t="shared" si="14"/>
        <v xml:space="preserve">8,9 </v>
      </c>
      <c r="F43" s="5" t="str">
        <f t="shared" si="15"/>
        <v xml:space="preserve">9,6 </v>
      </c>
      <c r="H43" s="6">
        <v>8.9</v>
      </c>
      <c r="I43" s="6">
        <v>9.6</v>
      </c>
      <c r="Q43" t="str">
        <f t="shared" si="16"/>
        <v>-27.1</v>
      </c>
      <c r="R43" t="str">
        <f t="shared" si="17"/>
        <v>-26.4</v>
      </c>
      <c r="S43" t="str">
        <f t="shared" si="10"/>
        <v>-27,1</v>
      </c>
      <c r="T43" t="str">
        <f t="shared" si="11"/>
        <v>-26,4</v>
      </c>
      <c r="V43" s="6">
        <v>-27.1</v>
      </c>
      <c r="W43" s="6">
        <v>-26.4</v>
      </c>
    </row>
    <row r="44" spans="1:23" ht="15.75" thickBot="1" x14ac:dyDescent="0.3">
      <c r="A44" s="2" t="s">
        <v>61</v>
      </c>
      <c r="B44" s="2" t="s">
        <v>80</v>
      </c>
      <c r="C44" t="str">
        <f t="shared" si="12"/>
        <v xml:space="preserve">9.1 </v>
      </c>
      <c r="D44" t="str">
        <f t="shared" si="13"/>
        <v xml:space="preserve">10.4 </v>
      </c>
      <c r="E44" s="5" t="str">
        <f t="shared" si="14"/>
        <v xml:space="preserve">9,1 </v>
      </c>
      <c r="F44" s="5" t="str">
        <f t="shared" si="15"/>
        <v xml:space="preserve">10,4 </v>
      </c>
      <c r="H44" s="6">
        <v>9.1</v>
      </c>
      <c r="I44" s="6">
        <v>10.4</v>
      </c>
      <c r="Q44" t="str">
        <f t="shared" si="16"/>
        <v>-26.9</v>
      </c>
      <c r="R44" t="str">
        <f t="shared" si="17"/>
        <v>-25.6</v>
      </c>
      <c r="S44" t="str">
        <f t="shared" si="10"/>
        <v>-26,9</v>
      </c>
      <c r="T44" t="str">
        <f t="shared" si="11"/>
        <v>-25,6</v>
      </c>
      <c r="V44" s="6">
        <v>-26.9</v>
      </c>
      <c r="W44" s="6">
        <v>-25.6</v>
      </c>
    </row>
    <row r="45" spans="1:23" ht="15.75" thickBot="1" x14ac:dyDescent="0.3">
      <c r="A45" s="1" t="s">
        <v>81</v>
      </c>
      <c r="B45" s="1" t="s">
        <v>98</v>
      </c>
      <c r="C45" t="str">
        <f t="shared" ref="C45:C63" si="18">LEFT(A45,SEARCH(" ",A45))</f>
        <v xml:space="preserve">1.9 </v>
      </c>
      <c r="D45" t="str">
        <f t="shared" ref="D45:D63" si="19">LEFT(B45,SEARCH(" ",B45))</f>
        <v xml:space="preserve">1.8 </v>
      </c>
      <c r="E45" s="5" t="str">
        <f t="shared" si="14"/>
        <v xml:space="preserve">1,9 </v>
      </c>
      <c r="F45" s="5" t="str">
        <f t="shared" si="15"/>
        <v xml:space="preserve">1,8 </v>
      </c>
      <c r="H45" s="6">
        <v>1.9</v>
      </c>
      <c r="I45" s="6">
        <v>1.8</v>
      </c>
      <c r="Q45" t="str">
        <f t="shared" si="16"/>
        <v>-44.1</v>
      </c>
      <c r="R45" t="str">
        <f t="shared" si="17"/>
        <v>-44.2</v>
      </c>
      <c r="S45" t="str">
        <f t="shared" si="10"/>
        <v>-44,1</v>
      </c>
      <c r="T45" t="str">
        <f t="shared" si="11"/>
        <v>-44,2</v>
      </c>
      <c r="V45" s="6">
        <v>-44.1</v>
      </c>
      <c r="W45" s="6">
        <v>-44.2</v>
      </c>
    </row>
    <row r="46" spans="1:23" ht="16.5" thickTop="1" thickBot="1" x14ac:dyDescent="0.3">
      <c r="A46" s="2" t="s">
        <v>27</v>
      </c>
      <c r="B46" s="2" t="s">
        <v>99</v>
      </c>
      <c r="C46" t="str">
        <f t="shared" si="18"/>
        <v xml:space="preserve">26.8 </v>
      </c>
      <c r="D46" t="str">
        <f t="shared" si="19"/>
        <v xml:space="preserve">-5.7 </v>
      </c>
      <c r="E46" s="5" t="str">
        <f t="shared" si="14"/>
        <v xml:space="preserve">26,8 </v>
      </c>
      <c r="F46" s="5" t="str">
        <f t="shared" si="15"/>
        <v xml:space="preserve">-5,7 </v>
      </c>
      <c r="H46" s="6">
        <v>26.8</v>
      </c>
      <c r="I46" s="6">
        <v>-5.7</v>
      </c>
      <c r="Q46" t="str">
        <f t="shared" si="16"/>
        <v>-9.2</v>
      </c>
      <c r="R46" t="str">
        <f t="shared" si="17"/>
        <v>-41.7</v>
      </c>
      <c r="S46" t="str">
        <f t="shared" si="10"/>
        <v>-9,2</v>
      </c>
      <c r="T46" t="str">
        <f t="shared" si="11"/>
        <v>-41,7</v>
      </c>
      <c r="V46" s="6">
        <v>-9.1999999999999993</v>
      </c>
      <c r="W46" s="6">
        <v>-41.7</v>
      </c>
    </row>
    <row r="47" spans="1:23" ht="15.75" thickBot="1" x14ac:dyDescent="0.3">
      <c r="A47" s="2" t="s">
        <v>82</v>
      </c>
      <c r="B47" s="2" t="s">
        <v>100</v>
      </c>
      <c r="C47" t="str">
        <f t="shared" si="18"/>
        <v xml:space="preserve">25.6 </v>
      </c>
      <c r="D47" t="str">
        <f t="shared" si="19"/>
        <v xml:space="preserve">16.7 </v>
      </c>
      <c r="E47" s="5" t="str">
        <f t="shared" si="14"/>
        <v xml:space="preserve">25,6 </v>
      </c>
      <c r="F47" s="5" t="str">
        <f t="shared" si="15"/>
        <v xml:space="preserve">16,7 </v>
      </c>
      <c r="H47" s="6">
        <v>25.6</v>
      </c>
      <c r="I47" s="6">
        <v>16.7</v>
      </c>
      <c r="Q47" t="str">
        <f t="shared" si="16"/>
        <v>-6.4</v>
      </c>
      <c r="R47" t="str">
        <f t="shared" si="17"/>
        <v>-15.3</v>
      </c>
      <c r="S47" t="str">
        <f t="shared" si="10"/>
        <v>-6,4</v>
      </c>
      <c r="T47" t="str">
        <f t="shared" si="11"/>
        <v>-15,3</v>
      </c>
      <c r="V47" s="6">
        <v>-6.4</v>
      </c>
      <c r="W47" s="6">
        <v>-15.3</v>
      </c>
    </row>
    <row r="48" spans="1:23" ht="15.75" thickBot="1" x14ac:dyDescent="0.3">
      <c r="A48" s="2" t="s">
        <v>83</v>
      </c>
      <c r="B48" s="2" t="s">
        <v>101</v>
      </c>
      <c r="C48" t="str">
        <f t="shared" si="18"/>
        <v xml:space="preserve">25.4 </v>
      </c>
      <c r="D48" t="str">
        <f t="shared" si="19"/>
        <v xml:space="preserve">19.8 </v>
      </c>
      <c r="E48" s="5" t="str">
        <f t="shared" si="14"/>
        <v xml:space="preserve">25,4 </v>
      </c>
      <c r="F48" s="5" t="str">
        <f t="shared" si="15"/>
        <v xml:space="preserve">19,8 </v>
      </c>
      <c r="H48" s="6">
        <v>25.4</v>
      </c>
      <c r="I48" s="6">
        <v>19.8</v>
      </c>
      <c r="Q48" t="str">
        <f t="shared" si="16"/>
        <v>-4.6</v>
      </c>
      <c r="R48" t="str">
        <f t="shared" si="17"/>
        <v>-10.2</v>
      </c>
      <c r="S48" t="str">
        <f t="shared" si="10"/>
        <v>-4,6</v>
      </c>
      <c r="T48" t="str">
        <f t="shared" si="11"/>
        <v>-10,2</v>
      </c>
      <c r="V48" s="6">
        <v>-4.5999999999999996</v>
      </c>
      <c r="W48" s="6">
        <v>-10.199999999999999</v>
      </c>
    </row>
    <row r="49" spans="1:23" ht="15.75" thickBot="1" x14ac:dyDescent="0.3">
      <c r="A49" s="2" t="s">
        <v>84</v>
      </c>
      <c r="B49" s="2" t="s">
        <v>102</v>
      </c>
      <c r="C49" t="str">
        <f t="shared" si="18"/>
        <v xml:space="preserve">20.8 </v>
      </c>
      <c r="D49" t="str">
        <f t="shared" si="19"/>
        <v xml:space="preserve">19.5 </v>
      </c>
      <c r="E49" s="5" t="str">
        <f t="shared" si="14"/>
        <v xml:space="preserve">20,8 </v>
      </c>
      <c r="F49" s="5" t="str">
        <f t="shared" si="15"/>
        <v xml:space="preserve">19,5 </v>
      </c>
      <c r="H49" s="6">
        <v>20.8</v>
      </c>
      <c r="I49" s="6">
        <v>19.5</v>
      </c>
      <c r="Q49" t="str">
        <f t="shared" si="16"/>
        <v>-9.2</v>
      </c>
      <c r="R49" t="str">
        <f t="shared" si="17"/>
        <v>-10.5</v>
      </c>
      <c r="S49" t="str">
        <f t="shared" si="10"/>
        <v>-9,2</v>
      </c>
      <c r="T49" t="str">
        <f t="shared" si="11"/>
        <v>-10,5</v>
      </c>
      <c r="V49" s="6">
        <v>-9.1999999999999993</v>
      </c>
      <c r="W49" s="6">
        <v>-10.5</v>
      </c>
    </row>
    <row r="50" spans="1:23" ht="15.75" thickBot="1" x14ac:dyDescent="0.3">
      <c r="A50" s="3" t="s">
        <v>85</v>
      </c>
      <c r="B50" s="2" t="s">
        <v>103</v>
      </c>
      <c r="C50" t="str">
        <f t="shared" si="18"/>
        <v xml:space="preserve">31.8 </v>
      </c>
      <c r="D50" t="str">
        <f t="shared" si="19"/>
        <v xml:space="preserve">21.1 </v>
      </c>
      <c r="E50" s="5" t="str">
        <f t="shared" si="14"/>
        <v xml:space="preserve">31,8 </v>
      </c>
      <c r="F50" s="5" t="str">
        <f t="shared" si="15"/>
        <v xml:space="preserve">21,1 </v>
      </c>
      <c r="H50" s="6">
        <v>31.8</v>
      </c>
      <c r="I50" s="6">
        <v>21.1</v>
      </c>
      <c r="Q50" t="str">
        <f t="shared" si="16"/>
        <v>3.8</v>
      </c>
      <c r="R50" t="str">
        <f t="shared" si="17"/>
        <v>-6.9</v>
      </c>
      <c r="S50" t="str">
        <f t="shared" si="10"/>
        <v>3,8</v>
      </c>
      <c r="T50" t="str">
        <f t="shared" si="11"/>
        <v>-6,9</v>
      </c>
      <c r="V50" s="6">
        <v>3.8</v>
      </c>
      <c r="W50" s="6">
        <v>-6.9</v>
      </c>
    </row>
    <row r="51" spans="1:23" ht="15.75" thickBot="1" x14ac:dyDescent="0.3">
      <c r="A51" s="2" t="s">
        <v>86</v>
      </c>
      <c r="B51" s="2" t="s">
        <v>104</v>
      </c>
      <c r="C51" t="str">
        <f t="shared" si="18"/>
        <v xml:space="preserve">31.8 </v>
      </c>
      <c r="D51" t="str">
        <f t="shared" si="19"/>
        <v xml:space="preserve">21.1 </v>
      </c>
      <c r="E51" s="5" t="str">
        <f t="shared" si="14"/>
        <v xml:space="preserve">31,8 </v>
      </c>
      <c r="F51" s="5" t="str">
        <f t="shared" si="15"/>
        <v xml:space="preserve">21,1 </v>
      </c>
      <c r="H51" s="6">
        <v>31.8</v>
      </c>
      <c r="I51" s="6">
        <v>21.1</v>
      </c>
      <c r="Q51" t="str">
        <f t="shared" si="16"/>
        <v>-2.2</v>
      </c>
      <c r="R51" t="str">
        <f t="shared" si="17"/>
        <v>-12.9</v>
      </c>
      <c r="S51" t="str">
        <f t="shared" si="10"/>
        <v>-2,2</v>
      </c>
      <c r="T51" t="str">
        <f t="shared" si="11"/>
        <v>-12,9</v>
      </c>
      <c r="V51" s="6">
        <v>-2.2000000000000002</v>
      </c>
      <c r="W51" s="6">
        <v>-12.9</v>
      </c>
    </row>
    <row r="52" spans="1:23" ht="15.75" thickBot="1" x14ac:dyDescent="0.3">
      <c r="A52" s="2" t="s">
        <v>87</v>
      </c>
      <c r="B52" s="2" t="s">
        <v>87</v>
      </c>
      <c r="C52" t="str">
        <f t="shared" si="18"/>
        <v xml:space="preserve">13.9 </v>
      </c>
      <c r="D52" t="str">
        <f t="shared" si="19"/>
        <v xml:space="preserve">13.9 </v>
      </c>
      <c r="E52" s="5" t="str">
        <f t="shared" si="14"/>
        <v xml:space="preserve">13,9 </v>
      </c>
      <c r="F52" s="5" t="str">
        <f t="shared" si="15"/>
        <v xml:space="preserve">13,9 </v>
      </c>
      <c r="H52" s="6">
        <v>13.9</v>
      </c>
      <c r="I52" s="6">
        <v>13.9</v>
      </c>
      <c r="Q52" t="str">
        <f t="shared" si="16"/>
        <v>-29.1</v>
      </c>
      <c r="R52" t="str">
        <f t="shared" si="17"/>
        <v>-29.1</v>
      </c>
      <c r="S52" t="str">
        <f t="shared" si="10"/>
        <v>-29,1</v>
      </c>
      <c r="T52" t="str">
        <f t="shared" si="11"/>
        <v>-29,1</v>
      </c>
      <c r="V52" s="6">
        <v>-29.1</v>
      </c>
      <c r="W52" s="6">
        <v>-29.1</v>
      </c>
    </row>
    <row r="53" spans="1:23" ht="15.75" thickBot="1" x14ac:dyDescent="0.3">
      <c r="A53" s="2" t="s">
        <v>88</v>
      </c>
      <c r="B53" s="2" t="s">
        <v>88</v>
      </c>
      <c r="C53" t="str">
        <f t="shared" si="18"/>
        <v xml:space="preserve">13.9 </v>
      </c>
      <c r="D53" t="str">
        <f t="shared" si="19"/>
        <v xml:space="preserve">13.9 </v>
      </c>
      <c r="E53" s="5" t="str">
        <f t="shared" si="14"/>
        <v xml:space="preserve">13,9 </v>
      </c>
      <c r="F53" s="5" t="str">
        <f t="shared" si="15"/>
        <v xml:space="preserve">13,9 </v>
      </c>
      <c r="H53" s="6">
        <v>13.9</v>
      </c>
      <c r="I53" s="6">
        <v>13.9</v>
      </c>
      <c r="Q53" t="str">
        <f t="shared" si="16"/>
        <v>-33.1</v>
      </c>
      <c r="R53" t="str">
        <f t="shared" si="17"/>
        <v>-33.1</v>
      </c>
      <c r="S53" t="str">
        <f t="shared" si="10"/>
        <v>-33,1</v>
      </c>
      <c r="T53" t="str">
        <f t="shared" si="11"/>
        <v>-33,1</v>
      </c>
      <c r="V53" s="6">
        <v>-33.1</v>
      </c>
      <c r="W53" s="6">
        <v>-33.1</v>
      </c>
    </row>
    <row r="54" spans="1:23" ht="15.75" thickBot="1" x14ac:dyDescent="0.3">
      <c r="A54" s="7" t="s">
        <v>89</v>
      </c>
      <c r="B54" s="3" t="s">
        <v>105</v>
      </c>
      <c r="C54" t="str">
        <f t="shared" si="18"/>
        <v xml:space="preserve">47.5 </v>
      </c>
      <c r="D54" t="str">
        <f t="shared" si="19"/>
        <v xml:space="preserve">39.9 </v>
      </c>
      <c r="E54" s="5" t="str">
        <f t="shared" si="14"/>
        <v xml:space="preserve">47,5 </v>
      </c>
      <c r="F54" s="5" t="str">
        <f t="shared" si="15"/>
        <v xml:space="preserve">39,9 </v>
      </c>
      <c r="H54" s="6">
        <v>47.5</v>
      </c>
      <c r="I54" s="6">
        <v>39.9</v>
      </c>
      <c r="Q54" t="str">
        <f t="shared" si="16"/>
        <v>15.5</v>
      </c>
      <c r="R54" t="str">
        <f t="shared" si="17"/>
        <v>7.9</v>
      </c>
      <c r="S54" t="str">
        <f t="shared" si="10"/>
        <v>15,5</v>
      </c>
      <c r="T54" t="str">
        <f t="shared" si="11"/>
        <v>7,9</v>
      </c>
      <c r="V54" s="6">
        <v>15.5</v>
      </c>
      <c r="W54" s="6">
        <v>7.9</v>
      </c>
    </row>
    <row r="55" spans="1:23" ht="15.75" thickBot="1" x14ac:dyDescent="0.3">
      <c r="A55" s="2" t="s">
        <v>90</v>
      </c>
      <c r="B55" s="2" t="s">
        <v>106</v>
      </c>
      <c r="C55" t="str">
        <f t="shared" si="18"/>
        <v xml:space="preserve">25.4 </v>
      </c>
      <c r="D55" t="str">
        <f t="shared" si="19"/>
        <v xml:space="preserve">19.8 </v>
      </c>
      <c r="E55" s="5" t="str">
        <f t="shared" si="14"/>
        <v xml:space="preserve">25,4 </v>
      </c>
      <c r="F55" s="5" t="str">
        <f t="shared" si="15"/>
        <v xml:space="preserve">19,8 </v>
      </c>
      <c r="H55" s="6">
        <v>25.4</v>
      </c>
      <c r="I55" s="6">
        <v>19.8</v>
      </c>
      <c r="Q55" t="str">
        <f t="shared" si="16"/>
        <v>-6.6</v>
      </c>
      <c r="R55" t="str">
        <f t="shared" si="17"/>
        <v>-12.2</v>
      </c>
      <c r="S55" t="str">
        <f t="shared" si="10"/>
        <v>-6,6</v>
      </c>
      <c r="T55" t="str">
        <f t="shared" si="11"/>
        <v>-12,2</v>
      </c>
      <c r="V55" s="6">
        <v>-6.6</v>
      </c>
      <c r="W55" s="6">
        <v>-12.2</v>
      </c>
    </row>
    <row r="56" spans="1:23" ht="15.75" thickBot="1" x14ac:dyDescent="0.3">
      <c r="A56" s="2" t="s">
        <v>91</v>
      </c>
      <c r="B56" s="2" t="s">
        <v>107</v>
      </c>
      <c r="C56" t="str">
        <f t="shared" si="18"/>
        <v xml:space="preserve">24.2 </v>
      </c>
      <c r="D56" t="str">
        <f t="shared" si="19"/>
        <v xml:space="preserve">17.9 </v>
      </c>
      <c r="E56" s="5" t="str">
        <f t="shared" si="14"/>
        <v xml:space="preserve">24,2 </v>
      </c>
      <c r="F56" s="5" t="str">
        <f t="shared" si="15"/>
        <v xml:space="preserve">17,9 </v>
      </c>
      <c r="H56" s="6">
        <v>24.2</v>
      </c>
      <c r="I56" s="6">
        <v>17.899999999999999</v>
      </c>
      <c r="Q56" t="str">
        <f t="shared" si="16"/>
        <v>-2.8</v>
      </c>
      <c r="R56" t="str">
        <f t="shared" si="17"/>
        <v>-9.1</v>
      </c>
      <c r="S56" t="str">
        <f t="shared" si="10"/>
        <v>-2,8</v>
      </c>
      <c r="T56" t="str">
        <f t="shared" si="11"/>
        <v>-9,1</v>
      </c>
      <c r="V56" s="6">
        <v>-2.8</v>
      </c>
      <c r="W56" s="6">
        <v>-9.1</v>
      </c>
    </row>
    <row r="57" spans="1:23" ht="15.75" thickBot="1" x14ac:dyDescent="0.3">
      <c r="A57" s="2" t="s">
        <v>92</v>
      </c>
      <c r="B57" s="2" t="s">
        <v>73</v>
      </c>
      <c r="C57" t="str">
        <f t="shared" si="18"/>
        <v xml:space="preserve">22.5 </v>
      </c>
      <c r="D57" t="str">
        <f t="shared" si="19"/>
        <v xml:space="preserve">14.6 </v>
      </c>
      <c r="E57" s="5" t="str">
        <f t="shared" si="14"/>
        <v xml:space="preserve">22,5 </v>
      </c>
      <c r="F57" s="5" t="str">
        <f t="shared" si="15"/>
        <v xml:space="preserve">14,6 </v>
      </c>
      <c r="H57" s="6">
        <v>22.5</v>
      </c>
      <c r="I57" s="6">
        <v>14.6</v>
      </c>
      <c r="Q57" t="str">
        <f t="shared" si="16"/>
        <v>-4.5</v>
      </c>
      <c r="R57" t="str">
        <f t="shared" si="17"/>
        <v>-12.4</v>
      </c>
      <c r="S57" t="str">
        <f t="shared" si="10"/>
        <v>-4,5</v>
      </c>
      <c r="T57" t="str">
        <f t="shared" si="11"/>
        <v>-12,4</v>
      </c>
      <c r="V57" s="6">
        <v>-4.5</v>
      </c>
      <c r="W57" s="6">
        <v>-12.4</v>
      </c>
    </row>
    <row r="58" spans="1:23" ht="15.75" thickBot="1" x14ac:dyDescent="0.3">
      <c r="A58" s="4" t="s">
        <v>93</v>
      </c>
      <c r="B58" s="2" t="s">
        <v>108</v>
      </c>
      <c r="C58" t="str">
        <f t="shared" si="18"/>
        <v xml:space="preserve">31.1 </v>
      </c>
      <c r="D58" t="str">
        <f t="shared" si="19"/>
        <v xml:space="preserve">23.1 </v>
      </c>
      <c r="E58" s="5" t="str">
        <f t="shared" si="14"/>
        <v xml:space="preserve">31,1 </v>
      </c>
      <c r="F58" s="5" t="str">
        <f t="shared" si="15"/>
        <v xml:space="preserve">23,1 </v>
      </c>
      <c r="H58" s="6">
        <v>31.1</v>
      </c>
      <c r="I58" s="6">
        <v>23.1</v>
      </c>
      <c r="Q58" t="str">
        <f t="shared" si="16"/>
        <v>1.1</v>
      </c>
      <c r="R58" t="str">
        <f t="shared" si="17"/>
        <v>-6.9</v>
      </c>
      <c r="S58" t="str">
        <f t="shared" si="10"/>
        <v>1,1</v>
      </c>
      <c r="T58" t="str">
        <f t="shared" si="11"/>
        <v>-6,9</v>
      </c>
      <c r="V58" s="6">
        <v>1.1000000000000001</v>
      </c>
      <c r="W58" s="6">
        <v>-6.9</v>
      </c>
    </row>
    <row r="59" spans="1:23" ht="15.75" thickBot="1" x14ac:dyDescent="0.3">
      <c r="A59" s="2" t="s">
        <v>94</v>
      </c>
      <c r="B59" s="2" t="s">
        <v>109</v>
      </c>
      <c r="C59" t="str">
        <f t="shared" si="18"/>
        <v xml:space="preserve">13.9 </v>
      </c>
      <c r="D59" t="str">
        <f t="shared" si="19"/>
        <v xml:space="preserve">12.3 </v>
      </c>
      <c r="E59" s="5" t="str">
        <f t="shared" si="14"/>
        <v xml:space="preserve">13,9 </v>
      </c>
      <c r="F59" s="5" t="str">
        <f t="shared" si="15"/>
        <v xml:space="preserve">12,3 </v>
      </c>
      <c r="H59" s="6">
        <v>13.9</v>
      </c>
      <c r="I59" s="6">
        <v>12.3</v>
      </c>
      <c r="Q59" t="str">
        <f t="shared" si="16"/>
        <v>-16.1</v>
      </c>
      <c r="R59" t="str">
        <f t="shared" si="17"/>
        <v>-17.7</v>
      </c>
      <c r="S59" t="str">
        <f t="shared" si="10"/>
        <v>-16,1</v>
      </c>
      <c r="T59" t="str">
        <f t="shared" si="11"/>
        <v>-17,7</v>
      </c>
      <c r="V59" s="6">
        <v>-16.100000000000001</v>
      </c>
      <c r="W59" s="6">
        <v>-17.7</v>
      </c>
    </row>
    <row r="60" spans="1:23" ht="15.75" thickBot="1" x14ac:dyDescent="0.3">
      <c r="A60" s="2" t="s">
        <v>95</v>
      </c>
      <c r="B60" s="2" t="s">
        <v>110</v>
      </c>
      <c r="C60" t="str">
        <f t="shared" si="18"/>
        <v xml:space="preserve">8.9 </v>
      </c>
      <c r="D60" t="str">
        <f t="shared" si="19"/>
        <v xml:space="preserve">5 </v>
      </c>
      <c r="E60" s="5" t="str">
        <f t="shared" si="14"/>
        <v xml:space="preserve">8,9 </v>
      </c>
      <c r="F60" s="5" t="str">
        <f t="shared" si="15"/>
        <v xml:space="preserve">5 </v>
      </c>
      <c r="H60" s="6">
        <v>8.9</v>
      </c>
      <c r="I60" s="6">
        <v>5</v>
      </c>
      <c r="Q60" t="str">
        <f t="shared" si="16"/>
        <v>-21.1</v>
      </c>
      <c r="R60" t="str">
        <f t="shared" si="17"/>
        <v>-25</v>
      </c>
      <c r="S60" t="str">
        <f t="shared" si="10"/>
        <v>-21,1</v>
      </c>
      <c r="T60" t="str">
        <f t="shared" si="11"/>
        <v>-25</v>
      </c>
      <c r="V60" s="6">
        <v>-21.1</v>
      </c>
      <c r="W60" s="6">
        <v>-25</v>
      </c>
    </row>
    <row r="61" spans="1:23" ht="15.75" thickBot="1" x14ac:dyDescent="0.3">
      <c r="A61" s="2" t="s">
        <v>96</v>
      </c>
      <c r="B61" s="2" t="s">
        <v>111</v>
      </c>
      <c r="C61" t="str">
        <f t="shared" si="18"/>
        <v xml:space="preserve">9.2 </v>
      </c>
      <c r="D61" t="str">
        <f t="shared" si="19"/>
        <v xml:space="preserve">10.5 </v>
      </c>
      <c r="E61" s="5" t="str">
        <f t="shared" si="14"/>
        <v xml:space="preserve">9,2 </v>
      </c>
      <c r="F61" s="5" t="str">
        <f t="shared" si="15"/>
        <v xml:space="preserve">10,5 </v>
      </c>
      <c r="H61" s="6">
        <v>9.1999999999999993</v>
      </c>
      <c r="I61" s="6">
        <v>10.5</v>
      </c>
      <c r="Q61" t="str">
        <f t="shared" si="16"/>
        <v>-26.8</v>
      </c>
      <c r="R61" t="str">
        <f t="shared" si="17"/>
        <v>-25.5</v>
      </c>
      <c r="S61" t="str">
        <f t="shared" si="10"/>
        <v>-26,8</v>
      </c>
      <c r="T61" t="str">
        <f t="shared" si="11"/>
        <v>-25,5</v>
      </c>
      <c r="V61" s="6">
        <v>-26.8</v>
      </c>
      <c r="W61" s="6">
        <v>-25.5</v>
      </c>
    </row>
    <row r="62" spans="1:23" ht="15.75" thickBot="1" x14ac:dyDescent="0.3">
      <c r="A62" s="2" t="s">
        <v>97</v>
      </c>
      <c r="B62" s="2" t="s">
        <v>112</v>
      </c>
      <c r="C62" t="str">
        <f t="shared" si="18"/>
        <v xml:space="preserve">9 </v>
      </c>
      <c r="D62" t="str">
        <f t="shared" si="19"/>
        <v xml:space="preserve">10 </v>
      </c>
      <c r="E62" s="5" t="str">
        <f t="shared" si="14"/>
        <v xml:space="preserve">9 </v>
      </c>
      <c r="F62" s="5" t="str">
        <f t="shared" si="15"/>
        <v xml:space="preserve">10 </v>
      </c>
      <c r="H62" s="6">
        <v>9</v>
      </c>
      <c r="I62" s="6">
        <v>10</v>
      </c>
      <c r="Q62" t="str">
        <f t="shared" si="16"/>
        <v>-27</v>
      </c>
      <c r="R62" t="str">
        <f t="shared" si="17"/>
        <v>-26</v>
      </c>
      <c r="S62" t="str">
        <f t="shared" si="10"/>
        <v>-27</v>
      </c>
      <c r="T62" t="str">
        <f t="shared" si="11"/>
        <v>-26</v>
      </c>
      <c r="V62" s="6">
        <v>-27</v>
      </c>
      <c r="W62" s="6">
        <v>-26</v>
      </c>
    </row>
    <row r="63" spans="1:23" ht="15.75" thickBot="1" x14ac:dyDescent="0.3">
      <c r="A63" s="2" t="s">
        <v>96</v>
      </c>
      <c r="B63" s="2" t="s">
        <v>111</v>
      </c>
      <c r="C63" t="str">
        <f t="shared" si="18"/>
        <v xml:space="preserve">9.2 </v>
      </c>
      <c r="D63" t="str">
        <f t="shared" si="19"/>
        <v xml:space="preserve">10.5 </v>
      </c>
      <c r="E63" s="5" t="str">
        <f t="shared" si="14"/>
        <v xml:space="preserve">9,2 </v>
      </c>
      <c r="F63" s="5" t="str">
        <f t="shared" si="15"/>
        <v xml:space="preserve">10,5 </v>
      </c>
      <c r="H63" s="6">
        <v>9.1999999999999993</v>
      </c>
      <c r="I63" s="6">
        <v>10.5</v>
      </c>
      <c r="Q63" t="str">
        <f t="shared" si="16"/>
        <v>-26.8</v>
      </c>
      <c r="R63" t="str">
        <f t="shared" si="17"/>
        <v>-25.5</v>
      </c>
      <c r="S63" t="str">
        <f t="shared" si="10"/>
        <v>-26,8</v>
      </c>
      <c r="T63" t="str">
        <f t="shared" si="11"/>
        <v>-25,5</v>
      </c>
      <c r="V63" s="6">
        <v>-26.8</v>
      </c>
      <c r="W63" s="6">
        <v>-25.5</v>
      </c>
    </row>
    <row r="64" spans="1:23" ht="15.75" thickBot="1" x14ac:dyDescent="0.3">
      <c r="A64" s="1" t="s">
        <v>98</v>
      </c>
      <c r="B64" s="1" t="s">
        <v>125</v>
      </c>
      <c r="C64" t="str">
        <f t="shared" ref="C64:C127" si="20">LEFT(A64,SEARCH(" ",A64))</f>
        <v xml:space="preserve">1.8 </v>
      </c>
      <c r="D64" t="str">
        <f t="shared" ref="D64:D127" si="21">LEFT(B64,SEARCH(" ",B64))</f>
        <v xml:space="preserve">1.7 </v>
      </c>
      <c r="E64" s="5" t="str">
        <f t="shared" ref="E64:E127" si="22">IFERROR(REPLACE(C64,SEARCH(".",C64),1,","),C64)</f>
        <v xml:space="preserve">1,8 </v>
      </c>
      <c r="F64" s="5" t="str">
        <f t="shared" ref="F64:F127" si="23">IFERROR(REPLACE(D64,SEARCH(".",D64),1,","),D64)</f>
        <v xml:space="preserve">1,7 </v>
      </c>
      <c r="H64" s="6">
        <v>1.8</v>
      </c>
      <c r="I64" s="6">
        <v>1.7</v>
      </c>
      <c r="Q64" t="str">
        <f t="shared" si="16"/>
        <v>-44.2</v>
      </c>
      <c r="R64" t="str">
        <f t="shared" si="17"/>
        <v>-44.3</v>
      </c>
      <c r="S64" t="str">
        <f t="shared" si="10"/>
        <v>-44,2</v>
      </c>
      <c r="T64" t="str">
        <f t="shared" si="11"/>
        <v>-44,3</v>
      </c>
      <c r="V64" s="6">
        <v>-44.2</v>
      </c>
      <c r="W64" s="6">
        <v>-44.3</v>
      </c>
    </row>
    <row r="65" spans="1:23" ht="16.5" thickTop="1" thickBot="1" x14ac:dyDescent="0.3">
      <c r="A65" s="2" t="s">
        <v>113</v>
      </c>
      <c r="B65" s="2" t="s">
        <v>126</v>
      </c>
      <c r="C65" t="str">
        <f t="shared" si="20"/>
        <v xml:space="preserve">18.2 </v>
      </c>
      <c r="D65" t="str">
        <f t="shared" si="21"/>
        <v xml:space="preserve">-4.5 </v>
      </c>
      <c r="E65" s="5" t="str">
        <f t="shared" si="22"/>
        <v xml:space="preserve">18,2 </v>
      </c>
      <c r="F65" s="5" t="str">
        <f t="shared" si="23"/>
        <v xml:space="preserve">-4,5 </v>
      </c>
      <c r="H65" s="6">
        <v>18.2</v>
      </c>
      <c r="I65" s="6">
        <v>-4.5</v>
      </c>
      <c r="Q65" t="str">
        <f t="shared" si="16"/>
        <v>-17.8</v>
      </c>
      <c r="R65" t="str">
        <f t="shared" si="17"/>
        <v>-40.5</v>
      </c>
      <c r="S65" t="str">
        <f t="shared" si="10"/>
        <v>-17,8</v>
      </c>
      <c r="T65" t="str">
        <f t="shared" si="11"/>
        <v>-40,5</v>
      </c>
      <c r="V65" s="6">
        <v>-17.8</v>
      </c>
      <c r="W65" s="6">
        <v>-40.5</v>
      </c>
    </row>
    <row r="66" spans="1:23" ht="15.75" thickBot="1" x14ac:dyDescent="0.3">
      <c r="A66" s="2" t="s">
        <v>114</v>
      </c>
      <c r="B66" s="2" t="s">
        <v>127</v>
      </c>
      <c r="C66" t="str">
        <f t="shared" si="20"/>
        <v xml:space="preserve">27.7 </v>
      </c>
      <c r="D66" t="str">
        <f t="shared" si="21"/>
        <v xml:space="preserve">26.1 </v>
      </c>
      <c r="E66" s="5" t="str">
        <f t="shared" si="22"/>
        <v xml:space="preserve">27,7 </v>
      </c>
      <c r="F66" s="5" t="str">
        <f t="shared" si="23"/>
        <v xml:space="preserve">26,1 </v>
      </c>
      <c r="H66" s="6">
        <v>27.7</v>
      </c>
      <c r="I66" s="6">
        <v>26.1</v>
      </c>
      <c r="Q66" t="str">
        <f t="shared" ref="Q66:Q97" si="24">MID(A66,SEARCH("(",A66)+1,LEN(A66)-SEARCH("(",A66)-2)</f>
        <v>-4.3</v>
      </c>
      <c r="R66" t="str">
        <f t="shared" ref="R66:R97" si="25">MID(B66,SEARCH("(",B66)+1,LEN(B66)-SEARCH("(",B66)-2)</f>
        <v>-5.9</v>
      </c>
      <c r="S66" t="str">
        <f t="shared" si="10"/>
        <v>-4,3</v>
      </c>
      <c r="T66" t="str">
        <f t="shared" si="11"/>
        <v>-5,9</v>
      </c>
      <c r="V66" s="6">
        <v>-4.3</v>
      </c>
      <c r="W66" s="6">
        <v>-5.9</v>
      </c>
    </row>
    <row r="67" spans="1:23" ht="15.75" thickBot="1" x14ac:dyDescent="0.3">
      <c r="A67" s="2" t="s">
        <v>115</v>
      </c>
      <c r="B67" s="2" t="s">
        <v>128</v>
      </c>
      <c r="C67" t="str">
        <f t="shared" si="20"/>
        <v xml:space="preserve">27.7 </v>
      </c>
      <c r="D67" t="str">
        <f t="shared" si="21"/>
        <v xml:space="preserve">21.9 </v>
      </c>
      <c r="E67" s="5" t="str">
        <f t="shared" si="22"/>
        <v xml:space="preserve">27,7 </v>
      </c>
      <c r="F67" s="5" t="str">
        <f t="shared" si="23"/>
        <v xml:space="preserve">21,9 </v>
      </c>
      <c r="H67" s="6">
        <v>27.7</v>
      </c>
      <c r="I67" s="6">
        <v>21.9</v>
      </c>
      <c r="Q67" t="str">
        <f t="shared" si="24"/>
        <v>-2.3</v>
      </c>
      <c r="R67" t="str">
        <f t="shared" si="25"/>
        <v>-8.1</v>
      </c>
      <c r="S67" t="str">
        <f t="shared" si="10"/>
        <v>-2,3</v>
      </c>
      <c r="T67" t="str">
        <f t="shared" si="11"/>
        <v>-8,1</v>
      </c>
      <c r="V67" s="6">
        <v>-2.2999999999999998</v>
      </c>
      <c r="W67" s="6">
        <v>-8.1</v>
      </c>
    </row>
    <row r="68" spans="1:23" ht="15.75" thickBot="1" x14ac:dyDescent="0.3">
      <c r="A68" s="2" t="s">
        <v>116</v>
      </c>
      <c r="B68" s="2" t="s">
        <v>129</v>
      </c>
      <c r="C68" t="str">
        <f t="shared" si="20"/>
        <v xml:space="preserve">24.1 </v>
      </c>
      <c r="D68" t="str">
        <f t="shared" si="21"/>
        <v xml:space="preserve">22 </v>
      </c>
      <c r="E68" s="5" t="str">
        <f t="shared" si="22"/>
        <v xml:space="preserve">24,1 </v>
      </c>
      <c r="F68" s="5" t="str">
        <f t="shared" si="23"/>
        <v xml:space="preserve">22 </v>
      </c>
      <c r="H68" s="6">
        <v>24.1</v>
      </c>
      <c r="I68" s="6">
        <v>22</v>
      </c>
      <c r="Q68" t="str">
        <f t="shared" si="24"/>
        <v>-5.9</v>
      </c>
      <c r="R68" t="str">
        <f t="shared" si="25"/>
        <v>-8</v>
      </c>
      <c r="S68" t="str">
        <f t="shared" si="10"/>
        <v>-5,9</v>
      </c>
      <c r="T68" t="str">
        <f t="shared" si="11"/>
        <v>-8</v>
      </c>
      <c r="V68" s="6">
        <v>-5.9</v>
      </c>
      <c r="W68" s="6">
        <v>-8</v>
      </c>
    </row>
    <row r="69" spans="1:23" ht="15.75" thickBot="1" x14ac:dyDescent="0.3">
      <c r="A69" s="4" t="s">
        <v>117</v>
      </c>
      <c r="B69" s="2" t="s">
        <v>130</v>
      </c>
      <c r="C69" t="str">
        <f t="shared" si="20"/>
        <v xml:space="preserve">30.7 </v>
      </c>
      <c r="D69" t="str">
        <f t="shared" si="21"/>
        <v xml:space="preserve">22.9 </v>
      </c>
      <c r="E69" s="5" t="str">
        <f t="shared" si="22"/>
        <v xml:space="preserve">30,7 </v>
      </c>
      <c r="F69" s="5" t="str">
        <f t="shared" si="23"/>
        <v xml:space="preserve">22,9 </v>
      </c>
      <c r="H69" s="6">
        <v>30.7</v>
      </c>
      <c r="I69" s="6">
        <v>22.9</v>
      </c>
      <c r="Q69" t="str">
        <f t="shared" si="24"/>
        <v>2.7</v>
      </c>
      <c r="R69" t="str">
        <f t="shared" si="25"/>
        <v>-5.1</v>
      </c>
      <c r="S69" t="str">
        <f t="shared" si="10"/>
        <v>2,7</v>
      </c>
      <c r="T69" t="str">
        <f t="shared" si="11"/>
        <v>-5,1</v>
      </c>
      <c r="V69" s="6">
        <v>2.7</v>
      </c>
      <c r="W69" s="6">
        <v>-5.0999999999999996</v>
      </c>
    </row>
    <row r="70" spans="1:23" ht="15.75" thickBot="1" x14ac:dyDescent="0.3">
      <c r="A70" s="2" t="s">
        <v>118</v>
      </c>
      <c r="B70" s="2" t="s">
        <v>131</v>
      </c>
      <c r="C70" t="str">
        <f t="shared" si="20"/>
        <v xml:space="preserve">30.7 </v>
      </c>
      <c r="D70" t="str">
        <f t="shared" si="21"/>
        <v xml:space="preserve">22.9 </v>
      </c>
      <c r="E70" s="5" t="str">
        <f t="shared" si="22"/>
        <v xml:space="preserve">30,7 </v>
      </c>
      <c r="F70" s="5" t="str">
        <f t="shared" si="23"/>
        <v xml:space="preserve">22,9 </v>
      </c>
      <c r="H70" s="6">
        <v>30.7</v>
      </c>
      <c r="I70" s="6">
        <v>22.9</v>
      </c>
      <c r="Q70" t="str">
        <f t="shared" si="24"/>
        <v>-3.3</v>
      </c>
      <c r="R70" t="str">
        <f t="shared" si="25"/>
        <v>-11.1</v>
      </c>
      <c r="S70" t="str">
        <f t="shared" si="10"/>
        <v>-3,3</v>
      </c>
      <c r="T70" t="str">
        <f t="shared" si="11"/>
        <v>-11,1</v>
      </c>
      <c r="V70" s="6">
        <v>-3.3</v>
      </c>
      <c r="W70" s="6">
        <v>-11.1</v>
      </c>
    </row>
    <row r="71" spans="1:23" ht="15.75" thickBot="1" x14ac:dyDescent="0.3">
      <c r="A71" s="2" t="s">
        <v>87</v>
      </c>
      <c r="B71" s="2" t="s">
        <v>132</v>
      </c>
      <c r="C71" t="str">
        <f t="shared" si="20"/>
        <v xml:space="preserve">13.9 </v>
      </c>
      <c r="D71" t="str">
        <f t="shared" si="21"/>
        <v xml:space="preserve">11.2 </v>
      </c>
      <c r="E71" s="5" t="str">
        <f t="shared" si="22"/>
        <v xml:space="preserve">13,9 </v>
      </c>
      <c r="F71" s="5" t="str">
        <f t="shared" si="23"/>
        <v xml:space="preserve">11,2 </v>
      </c>
      <c r="H71" s="6">
        <v>13.9</v>
      </c>
      <c r="I71" s="6">
        <v>11.2</v>
      </c>
      <c r="Q71" t="str">
        <f t="shared" si="24"/>
        <v>-29.1</v>
      </c>
      <c r="R71" t="str">
        <f t="shared" si="25"/>
        <v>-31.8</v>
      </c>
      <c r="S71" t="str">
        <f t="shared" si="10"/>
        <v>-29,1</v>
      </c>
      <c r="T71" t="str">
        <f t="shared" si="11"/>
        <v>-31,8</v>
      </c>
      <c r="V71" s="6">
        <v>-29.1</v>
      </c>
      <c r="W71" s="6">
        <v>-31.8</v>
      </c>
    </row>
    <row r="72" spans="1:23" ht="15.75" thickBot="1" x14ac:dyDescent="0.3">
      <c r="A72" s="2" t="s">
        <v>88</v>
      </c>
      <c r="B72" s="2" t="s">
        <v>133</v>
      </c>
      <c r="C72" t="str">
        <f t="shared" si="20"/>
        <v xml:space="preserve">13.9 </v>
      </c>
      <c r="D72" t="str">
        <f t="shared" si="21"/>
        <v xml:space="preserve">11.2 </v>
      </c>
      <c r="E72" s="5" t="str">
        <f t="shared" si="22"/>
        <v xml:space="preserve">13,9 </v>
      </c>
      <c r="F72" s="5" t="str">
        <f t="shared" si="23"/>
        <v xml:space="preserve">11,2 </v>
      </c>
      <c r="H72" s="6">
        <v>13.9</v>
      </c>
      <c r="I72" s="6">
        <v>11.2</v>
      </c>
      <c r="Q72" t="str">
        <f t="shared" si="24"/>
        <v>-33.1</v>
      </c>
      <c r="R72" t="str">
        <f t="shared" si="25"/>
        <v>-35.8</v>
      </c>
      <c r="S72" t="str">
        <f t="shared" si="10"/>
        <v>-33,1</v>
      </c>
      <c r="T72" t="str">
        <f t="shared" si="11"/>
        <v>-35,8</v>
      </c>
      <c r="V72" s="6">
        <v>-33.1</v>
      </c>
      <c r="W72" s="6">
        <v>-35.799999999999997</v>
      </c>
    </row>
    <row r="73" spans="1:23" ht="15.75" thickBot="1" x14ac:dyDescent="0.3">
      <c r="A73" s="7" t="s">
        <v>119</v>
      </c>
      <c r="B73" s="3" t="s">
        <v>134</v>
      </c>
      <c r="C73" t="str">
        <f t="shared" si="20"/>
        <v xml:space="preserve">47 </v>
      </c>
      <c r="D73" t="str">
        <f t="shared" si="21"/>
        <v xml:space="preserve">40.6 </v>
      </c>
      <c r="E73" s="5" t="str">
        <f t="shared" si="22"/>
        <v xml:space="preserve">47 </v>
      </c>
      <c r="F73" s="5" t="str">
        <f t="shared" si="23"/>
        <v xml:space="preserve">40,6 </v>
      </c>
      <c r="H73" s="6">
        <v>47</v>
      </c>
      <c r="I73" s="6">
        <v>40.6</v>
      </c>
      <c r="Q73" t="str">
        <f t="shared" si="24"/>
        <v>15</v>
      </c>
      <c r="R73" t="str">
        <f t="shared" si="25"/>
        <v>8.6</v>
      </c>
      <c r="S73" t="str">
        <f t="shared" si="10"/>
        <v>15</v>
      </c>
      <c r="T73" t="str">
        <f t="shared" si="11"/>
        <v>8,6</v>
      </c>
      <c r="V73" s="6">
        <v>15</v>
      </c>
      <c r="W73" s="6">
        <v>8.6</v>
      </c>
    </row>
    <row r="74" spans="1:23" ht="15.75" thickBot="1" x14ac:dyDescent="0.3">
      <c r="A74" s="2" t="s">
        <v>114</v>
      </c>
      <c r="B74" s="2" t="s">
        <v>135</v>
      </c>
      <c r="C74" t="str">
        <f t="shared" si="20"/>
        <v xml:space="preserve">27.7 </v>
      </c>
      <c r="D74" t="str">
        <f t="shared" si="21"/>
        <v xml:space="preserve">21.9 </v>
      </c>
      <c r="E74" s="5" t="str">
        <f t="shared" si="22"/>
        <v xml:space="preserve">27,7 </v>
      </c>
      <c r="F74" s="5" t="str">
        <f t="shared" si="23"/>
        <v xml:space="preserve">21,9 </v>
      </c>
      <c r="H74" s="6">
        <v>27.7</v>
      </c>
      <c r="I74" s="6">
        <v>21.9</v>
      </c>
      <c r="Q74" t="str">
        <f t="shared" si="24"/>
        <v>-4.3</v>
      </c>
      <c r="R74" t="str">
        <f t="shared" si="25"/>
        <v>-10.1</v>
      </c>
      <c r="S74" t="str">
        <f t="shared" si="10"/>
        <v>-4,3</v>
      </c>
      <c r="T74" t="str">
        <f t="shared" si="11"/>
        <v>-10,1</v>
      </c>
      <c r="V74" s="6">
        <v>-4.3</v>
      </c>
      <c r="W74" s="6">
        <v>-10.1</v>
      </c>
    </row>
    <row r="75" spans="1:23" ht="15.75" thickBot="1" x14ac:dyDescent="0.3">
      <c r="A75" s="4" t="s">
        <v>120</v>
      </c>
      <c r="B75" s="2" t="s">
        <v>136</v>
      </c>
      <c r="C75" t="str">
        <f t="shared" si="20"/>
        <v xml:space="preserve">27.6 </v>
      </c>
      <c r="D75" t="str">
        <f t="shared" si="21"/>
        <v xml:space="preserve">21.2 </v>
      </c>
      <c r="E75" s="5" t="str">
        <f t="shared" si="22"/>
        <v xml:space="preserve">27,6 </v>
      </c>
      <c r="F75" s="5" t="str">
        <f t="shared" si="23"/>
        <v xml:space="preserve">21,2 </v>
      </c>
      <c r="H75" s="6">
        <v>27.6</v>
      </c>
      <c r="I75" s="6">
        <v>21.2</v>
      </c>
      <c r="Q75" t="str">
        <f t="shared" si="24"/>
        <v>0.6</v>
      </c>
      <c r="R75" t="str">
        <f t="shared" si="25"/>
        <v>-5.8</v>
      </c>
      <c r="S75" t="str">
        <f t="shared" si="10"/>
        <v>0,6</v>
      </c>
      <c r="T75" t="str">
        <f t="shared" si="11"/>
        <v>-5,8</v>
      </c>
      <c r="V75" s="6">
        <v>0.6</v>
      </c>
      <c r="W75" s="6">
        <v>-5.8</v>
      </c>
    </row>
    <row r="76" spans="1:23" ht="15.75" thickBot="1" x14ac:dyDescent="0.3">
      <c r="A76" s="4" t="s">
        <v>121</v>
      </c>
      <c r="B76" s="2" t="s">
        <v>137</v>
      </c>
      <c r="C76" t="str">
        <f t="shared" si="20"/>
        <v xml:space="preserve">28.2 </v>
      </c>
      <c r="D76" t="str">
        <f t="shared" si="21"/>
        <v xml:space="preserve">21.3 </v>
      </c>
      <c r="E76" s="5" t="str">
        <f t="shared" si="22"/>
        <v xml:space="preserve">28,2 </v>
      </c>
      <c r="F76" s="5" t="str">
        <f t="shared" si="23"/>
        <v xml:space="preserve">21,3 </v>
      </c>
      <c r="H76" s="6">
        <v>28.2</v>
      </c>
      <c r="I76" s="6">
        <v>21.3</v>
      </c>
      <c r="Q76" t="str">
        <f t="shared" si="24"/>
        <v>1.2</v>
      </c>
      <c r="R76" t="str">
        <f t="shared" si="25"/>
        <v>-5.7</v>
      </c>
      <c r="S76" t="str">
        <f t="shared" si="10"/>
        <v>1,2</v>
      </c>
      <c r="T76" t="str">
        <f t="shared" si="11"/>
        <v>-5,7</v>
      </c>
      <c r="V76" s="6">
        <v>1.2</v>
      </c>
      <c r="W76" s="6">
        <v>-5.7</v>
      </c>
    </row>
    <row r="77" spans="1:23" ht="15.75" thickBot="1" x14ac:dyDescent="0.3">
      <c r="A77" s="2" t="s">
        <v>122</v>
      </c>
      <c r="B77" s="2" t="s">
        <v>138</v>
      </c>
      <c r="C77" t="str">
        <f t="shared" si="20"/>
        <v xml:space="preserve">23.4 </v>
      </c>
      <c r="D77" t="str">
        <f t="shared" si="21"/>
        <v xml:space="preserve">20 </v>
      </c>
      <c r="E77" s="5" t="str">
        <f t="shared" si="22"/>
        <v xml:space="preserve">23,4 </v>
      </c>
      <c r="F77" s="5" t="str">
        <f t="shared" si="23"/>
        <v xml:space="preserve">20 </v>
      </c>
      <c r="H77" s="6">
        <v>23.4</v>
      </c>
      <c r="I77" s="6">
        <v>20</v>
      </c>
      <c r="Q77" t="str">
        <f t="shared" si="24"/>
        <v>-6.6</v>
      </c>
      <c r="R77" t="str">
        <f t="shared" si="25"/>
        <v>-10</v>
      </c>
      <c r="S77" t="str">
        <f t="shared" si="10"/>
        <v>-6,6</v>
      </c>
      <c r="T77" t="str">
        <f t="shared" si="11"/>
        <v>-10</v>
      </c>
      <c r="V77" s="6">
        <v>-6.6</v>
      </c>
      <c r="W77" s="6">
        <v>-10</v>
      </c>
    </row>
    <row r="78" spans="1:23" ht="15.75" thickBot="1" x14ac:dyDescent="0.3">
      <c r="A78" s="2" t="s">
        <v>123</v>
      </c>
      <c r="B78" s="2" t="s">
        <v>139</v>
      </c>
      <c r="C78" t="str">
        <f t="shared" si="20"/>
        <v xml:space="preserve">17.8 </v>
      </c>
      <c r="D78" t="str">
        <f t="shared" si="21"/>
        <v xml:space="preserve">10.1 </v>
      </c>
      <c r="E78" s="5" t="str">
        <f t="shared" si="22"/>
        <v xml:space="preserve">17,8 </v>
      </c>
      <c r="F78" s="5" t="str">
        <f t="shared" si="23"/>
        <v xml:space="preserve">10,1 </v>
      </c>
      <c r="H78" s="6">
        <v>17.8</v>
      </c>
      <c r="I78" s="6">
        <v>10.1</v>
      </c>
      <c r="Q78" t="str">
        <f t="shared" si="24"/>
        <v>-12.2</v>
      </c>
      <c r="R78" t="str">
        <f t="shared" si="25"/>
        <v>-19.9</v>
      </c>
      <c r="S78" t="str">
        <f t="shared" ref="S78:S139" si="26">IFERROR(REPLACE(Q78,SEARCH(".",Q78),1,","),Q78)</f>
        <v>-12,2</v>
      </c>
      <c r="T78" t="str">
        <f t="shared" ref="T78:T139" si="27">IFERROR(REPLACE(R78,SEARCH(".",R78),1,","),R78)</f>
        <v>-19,9</v>
      </c>
      <c r="V78" s="6">
        <v>-12.2</v>
      </c>
      <c r="W78" s="6">
        <v>-19.899999999999999</v>
      </c>
    </row>
    <row r="79" spans="1:23" ht="15.75" thickBot="1" x14ac:dyDescent="0.3">
      <c r="A79" s="2" t="s">
        <v>124</v>
      </c>
      <c r="B79" s="2" t="s">
        <v>140</v>
      </c>
      <c r="C79" t="str">
        <f t="shared" si="20"/>
        <v xml:space="preserve">5.2 </v>
      </c>
      <c r="D79" t="str">
        <f t="shared" si="21"/>
        <v xml:space="preserve">3.5 </v>
      </c>
      <c r="E79" s="5" t="str">
        <f t="shared" si="22"/>
        <v xml:space="preserve">5,2 </v>
      </c>
      <c r="F79" s="5" t="str">
        <f t="shared" si="23"/>
        <v xml:space="preserve">3,5 </v>
      </c>
      <c r="H79" s="6">
        <v>5.2</v>
      </c>
      <c r="I79" s="6">
        <v>3.5</v>
      </c>
      <c r="Q79" t="str">
        <f t="shared" si="24"/>
        <v>-24.8</v>
      </c>
      <c r="R79" t="str">
        <f t="shared" si="25"/>
        <v>-26.5</v>
      </c>
      <c r="S79" t="str">
        <f t="shared" si="26"/>
        <v>-24,8</v>
      </c>
      <c r="T79" t="str">
        <f t="shared" si="27"/>
        <v>-26,5</v>
      </c>
      <c r="V79" s="6">
        <v>-24.8</v>
      </c>
      <c r="W79" s="6">
        <v>-26.5</v>
      </c>
    </row>
    <row r="80" spans="1:23" ht="15.75" thickBot="1" x14ac:dyDescent="0.3">
      <c r="A80" s="2" t="s">
        <v>61</v>
      </c>
      <c r="B80" s="2" t="s">
        <v>96</v>
      </c>
      <c r="C80" t="str">
        <f t="shared" si="20"/>
        <v xml:space="preserve">9.1 </v>
      </c>
      <c r="D80" t="str">
        <f t="shared" si="21"/>
        <v xml:space="preserve">9.2 </v>
      </c>
      <c r="E80" s="5" t="str">
        <f t="shared" si="22"/>
        <v xml:space="preserve">9,1 </v>
      </c>
      <c r="F80" s="5" t="str">
        <f t="shared" si="23"/>
        <v xml:space="preserve">9,2 </v>
      </c>
      <c r="H80" s="6">
        <v>9.1</v>
      </c>
      <c r="I80" s="6">
        <v>9.1999999999999993</v>
      </c>
      <c r="Q80" t="str">
        <f t="shared" si="24"/>
        <v>-26.9</v>
      </c>
      <c r="R80" t="str">
        <f t="shared" si="25"/>
        <v>-26.8</v>
      </c>
      <c r="S80" t="str">
        <f t="shared" si="26"/>
        <v>-26,9</v>
      </c>
      <c r="T80" t="str">
        <f t="shared" si="27"/>
        <v>-26,8</v>
      </c>
      <c r="V80" s="6">
        <v>-26.9</v>
      </c>
      <c r="W80" s="6">
        <v>-26.8</v>
      </c>
    </row>
    <row r="81" spans="1:23" ht="15.75" thickBot="1" x14ac:dyDescent="0.3">
      <c r="A81" s="2" t="s">
        <v>62</v>
      </c>
      <c r="B81" s="2" t="s">
        <v>62</v>
      </c>
      <c r="C81" t="str">
        <f t="shared" si="20"/>
        <v xml:space="preserve">8.9 </v>
      </c>
      <c r="D81" t="str">
        <f t="shared" si="21"/>
        <v xml:space="preserve">8.9 </v>
      </c>
      <c r="E81" s="5" t="str">
        <f t="shared" si="22"/>
        <v xml:space="preserve">8,9 </v>
      </c>
      <c r="F81" s="5" t="str">
        <f t="shared" si="23"/>
        <v xml:space="preserve">8,9 </v>
      </c>
      <c r="H81" s="6">
        <v>8.9</v>
      </c>
      <c r="I81" s="6">
        <v>8.9</v>
      </c>
      <c r="Q81" t="str">
        <f t="shared" si="24"/>
        <v>-27.1</v>
      </c>
      <c r="R81" t="str">
        <f t="shared" si="25"/>
        <v>-27.1</v>
      </c>
      <c r="S81" t="str">
        <f t="shared" si="26"/>
        <v>-27,1</v>
      </c>
      <c r="T81" t="str">
        <f t="shared" si="27"/>
        <v>-27,1</v>
      </c>
      <c r="V81" s="6">
        <v>-27.1</v>
      </c>
      <c r="W81" s="6">
        <v>-27.1</v>
      </c>
    </row>
    <row r="82" spans="1:23" ht="15.75" thickBot="1" x14ac:dyDescent="0.3">
      <c r="A82" s="2" t="s">
        <v>61</v>
      </c>
      <c r="B82" s="2" t="s">
        <v>96</v>
      </c>
      <c r="C82" t="str">
        <f t="shared" si="20"/>
        <v xml:space="preserve">9.1 </v>
      </c>
      <c r="D82" t="str">
        <f t="shared" si="21"/>
        <v xml:space="preserve">9.2 </v>
      </c>
      <c r="E82" s="5" t="str">
        <f t="shared" si="22"/>
        <v xml:space="preserve">9,1 </v>
      </c>
      <c r="F82" s="5" t="str">
        <f t="shared" si="23"/>
        <v xml:space="preserve">9,2 </v>
      </c>
      <c r="H82" s="6">
        <v>9.1</v>
      </c>
      <c r="I82" s="6">
        <v>9.1999999999999993</v>
      </c>
      <c r="Q82" t="str">
        <f t="shared" si="24"/>
        <v>-26.9</v>
      </c>
      <c r="R82" t="str">
        <f t="shared" si="25"/>
        <v>-26.8</v>
      </c>
      <c r="S82" t="str">
        <f t="shared" si="26"/>
        <v>-26,9</v>
      </c>
      <c r="T82" t="str">
        <f t="shared" si="27"/>
        <v>-26,8</v>
      </c>
      <c r="V82" s="6">
        <v>-26.9</v>
      </c>
      <c r="W82" s="6">
        <v>-26.8</v>
      </c>
    </row>
    <row r="83" spans="1:23" ht="15.75" thickBot="1" x14ac:dyDescent="0.3">
      <c r="A83" s="1" t="s">
        <v>141</v>
      </c>
      <c r="B83" s="1" t="s">
        <v>45</v>
      </c>
      <c r="C83" t="str">
        <f t="shared" si="20"/>
        <v xml:space="preserve">2 </v>
      </c>
      <c r="D83" t="str">
        <f t="shared" si="21"/>
        <v xml:space="preserve">1.6 </v>
      </c>
      <c r="E83" s="5" t="str">
        <f t="shared" si="22"/>
        <v xml:space="preserve">2 </v>
      </c>
      <c r="F83" s="5" t="str">
        <f t="shared" si="23"/>
        <v xml:space="preserve">1,6 </v>
      </c>
      <c r="H83" s="6">
        <v>2</v>
      </c>
      <c r="I83" s="6">
        <v>1.6</v>
      </c>
      <c r="Q83" t="str">
        <f t="shared" si="24"/>
        <v>-44</v>
      </c>
      <c r="R83" t="str">
        <f t="shared" si="25"/>
        <v>-44.4</v>
      </c>
      <c r="S83" t="str">
        <f t="shared" si="26"/>
        <v>-44</v>
      </c>
      <c r="T83" t="str">
        <f t="shared" si="27"/>
        <v>-44,4</v>
      </c>
      <c r="V83" s="6">
        <v>-44</v>
      </c>
      <c r="W83" s="6">
        <v>-44.4</v>
      </c>
    </row>
    <row r="84" spans="1:23" ht="16.5" thickTop="1" thickBot="1" x14ac:dyDescent="0.3">
      <c r="A84" s="2" t="s">
        <v>142</v>
      </c>
      <c r="B84" s="2" t="s">
        <v>156</v>
      </c>
      <c r="C84" t="str">
        <f t="shared" si="20"/>
        <v xml:space="preserve">-3 </v>
      </c>
      <c r="D84" t="str">
        <f t="shared" si="21"/>
        <v xml:space="preserve">-6.9 </v>
      </c>
      <c r="E84" s="5" t="str">
        <f t="shared" si="22"/>
        <v xml:space="preserve">-3 </v>
      </c>
      <c r="F84" s="5" t="str">
        <f t="shared" si="23"/>
        <v xml:space="preserve">-6,9 </v>
      </c>
      <c r="H84" s="6">
        <v>-3</v>
      </c>
      <c r="I84" s="6">
        <v>-6.9</v>
      </c>
      <c r="Q84" t="str">
        <f t="shared" si="24"/>
        <v>-39</v>
      </c>
      <c r="R84" t="str">
        <f t="shared" si="25"/>
        <v>-42.9</v>
      </c>
      <c r="S84" t="str">
        <f t="shared" si="26"/>
        <v>-39</v>
      </c>
      <c r="T84" t="str">
        <f t="shared" si="27"/>
        <v>-42,9</v>
      </c>
      <c r="V84" s="6">
        <v>-39</v>
      </c>
      <c r="W84" s="6">
        <v>-42.9</v>
      </c>
    </row>
    <row r="85" spans="1:23" ht="15.75" thickBot="1" x14ac:dyDescent="0.3">
      <c r="A85" s="4" t="s">
        <v>143</v>
      </c>
      <c r="B85" s="2" t="s">
        <v>157</v>
      </c>
      <c r="C85" t="str">
        <f t="shared" si="20"/>
        <v xml:space="preserve">33.3 </v>
      </c>
      <c r="D85" t="str">
        <f t="shared" si="21"/>
        <v xml:space="preserve">30.2 </v>
      </c>
      <c r="E85" s="5" t="str">
        <f t="shared" si="22"/>
        <v xml:space="preserve">33,3 </v>
      </c>
      <c r="F85" s="5" t="str">
        <f t="shared" si="23"/>
        <v xml:space="preserve">30,2 </v>
      </c>
      <c r="H85" s="6">
        <v>33.299999999999997</v>
      </c>
      <c r="I85" s="6">
        <v>30.2</v>
      </c>
      <c r="Q85" t="str">
        <f t="shared" si="24"/>
        <v>1.3</v>
      </c>
      <c r="R85" t="str">
        <f t="shared" si="25"/>
        <v>-1.8</v>
      </c>
      <c r="S85" t="str">
        <f t="shared" si="26"/>
        <v>1,3</v>
      </c>
      <c r="T85" t="str">
        <f t="shared" si="27"/>
        <v>-1,8</v>
      </c>
      <c r="V85" s="6">
        <v>1.3</v>
      </c>
      <c r="W85" s="6">
        <v>-1.8</v>
      </c>
    </row>
    <row r="86" spans="1:23" ht="15.75" thickBot="1" x14ac:dyDescent="0.3">
      <c r="A86" s="3" t="s">
        <v>144</v>
      </c>
      <c r="B86" s="4" t="s">
        <v>93</v>
      </c>
      <c r="C86" t="str">
        <f t="shared" si="20"/>
        <v xml:space="preserve">36.7 </v>
      </c>
      <c r="D86" t="str">
        <f t="shared" si="21"/>
        <v xml:space="preserve">31.1 </v>
      </c>
      <c r="E86" s="5" t="str">
        <f t="shared" si="22"/>
        <v xml:space="preserve">36,7 </v>
      </c>
      <c r="F86" s="5" t="str">
        <f t="shared" si="23"/>
        <v xml:space="preserve">31,1 </v>
      </c>
      <c r="H86" s="6">
        <v>36.700000000000003</v>
      </c>
      <c r="I86" s="6">
        <v>31.1</v>
      </c>
      <c r="Q86" t="str">
        <f t="shared" si="24"/>
        <v>6.7</v>
      </c>
      <c r="R86" t="str">
        <f t="shared" si="25"/>
        <v>1.1</v>
      </c>
      <c r="S86" t="str">
        <f t="shared" si="26"/>
        <v>6,7</v>
      </c>
      <c r="T86" t="str">
        <f t="shared" si="27"/>
        <v>1,1</v>
      </c>
      <c r="V86" s="6">
        <v>6.7</v>
      </c>
      <c r="W86" s="6">
        <v>1.1000000000000001</v>
      </c>
    </row>
    <row r="87" spans="1:23" ht="15.75" thickBot="1" x14ac:dyDescent="0.3">
      <c r="A87" s="2" t="s">
        <v>145</v>
      </c>
      <c r="B87" s="4" t="s">
        <v>158</v>
      </c>
      <c r="C87" t="str">
        <f t="shared" si="20"/>
        <v xml:space="preserve">29.5 </v>
      </c>
      <c r="D87" t="str">
        <f t="shared" si="21"/>
        <v xml:space="preserve">30.3 </v>
      </c>
      <c r="E87" s="5" t="str">
        <f t="shared" si="22"/>
        <v xml:space="preserve">29,5 </v>
      </c>
      <c r="F87" s="5" t="str">
        <f t="shared" si="23"/>
        <v xml:space="preserve">30,3 </v>
      </c>
      <c r="H87" s="6">
        <v>29.5</v>
      </c>
      <c r="I87" s="6">
        <v>30.3</v>
      </c>
      <c r="Q87" t="str">
        <f t="shared" si="24"/>
        <v>-0.5</v>
      </c>
      <c r="R87" t="str">
        <f t="shared" si="25"/>
        <v>0.3</v>
      </c>
      <c r="S87" t="str">
        <f t="shared" si="26"/>
        <v>-0,5</v>
      </c>
      <c r="T87" t="str">
        <f t="shared" si="27"/>
        <v>0,3</v>
      </c>
      <c r="V87" s="6">
        <v>-0.5</v>
      </c>
      <c r="W87" s="6">
        <v>0.3</v>
      </c>
    </row>
    <row r="88" spans="1:23" ht="15.75" thickBot="1" x14ac:dyDescent="0.3">
      <c r="A88" s="3" t="s">
        <v>146</v>
      </c>
      <c r="B88" s="3" t="s">
        <v>159</v>
      </c>
      <c r="C88" t="str">
        <f t="shared" si="20"/>
        <v xml:space="preserve">32.9 </v>
      </c>
      <c r="D88" t="str">
        <f t="shared" si="21"/>
        <v xml:space="preserve">31.7 </v>
      </c>
      <c r="E88" s="5" t="str">
        <f t="shared" si="22"/>
        <v xml:space="preserve">32,9 </v>
      </c>
      <c r="F88" s="5" t="str">
        <f t="shared" si="23"/>
        <v xml:space="preserve">31,7 </v>
      </c>
      <c r="H88" s="6">
        <v>32.9</v>
      </c>
      <c r="I88" s="6">
        <v>31.7</v>
      </c>
      <c r="Q88" t="str">
        <f t="shared" si="24"/>
        <v>4.9</v>
      </c>
      <c r="R88" t="str">
        <f t="shared" si="25"/>
        <v>3.7</v>
      </c>
      <c r="S88" t="str">
        <f t="shared" si="26"/>
        <v>4,9</v>
      </c>
      <c r="T88" t="str">
        <f t="shared" si="27"/>
        <v>3,7</v>
      </c>
      <c r="V88" s="6">
        <v>4.9000000000000004</v>
      </c>
      <c r="W88" s="6">
        <v>3.7</v>
      </c>
    </row>
    <row r="89" spans="1:23" ht="15.75" thickBot="1" x14ac:dyDescent="0.3">
      <c r="A89" s="2" t="s">
        <v>147</v>
      </c>
      <c r="B89" s="2" t="s">
        <v>160</v>
      </c>
      <c r="C89" t="str">
        <f t="shared" si="20"/>
        <v xml:space="preserve">29.6 </v>
      </c>
      <c r="D89" t="str">
        <f t="shared" si="21"/>
        <v xml:space="preserve">28 </v>
      </c>
      <c r="E89" s="5" t="str">
        <f t="shared" si="22"/>
        <v xml:space="preserve">29,6 </v>
      </c>
      <c r="F89" s="5" t="str">
        <f t="shared" si="23"/>
        <v xml:space="preserve">28 </v>
      </c>
      <c r="H89" s="6">
        <v>29.6</v>
      </c>
      <c r="I89" s="6">
        <v>28</v>
      </c>
      <c r="Q89" t="str">
        <f t="shared" si="24"/>
        <v>-4.4</v>
      </c>
      <c r="R89" t="str">
        <f t="shared" si="25"/>
        <v>-6</v>
      </c>
      <c r="S89" t="str">
        <f t="shared" si="26"/>
        <v>-4,4</v>
      </c>
      <c r="T89" t="str">
        <f t="shared" si="27"/>
        <v>-6</v>
      </c>
      <c r="V89" s="6">
        <v>-4.4000000000000004</v>
      </c>
      <c r="W89" s="6">
        <v>-6</v>
      </c>
    </row>
    <row r="90" spans="1:23" ht="15.75" thickBot="1" x14ac:dyDescent="0.3">
      <c r="A90" s="2" t="s">
        <v>148</v>
      </c>
      <c r="B90" s="2" t="s">
        <v>161</v>
      </c>
      <c r="C90" t="str">
        <f t="shared" si="20"/>
        <v xml:space="preserve">15.5 </v>
      </c>
      <c r="D90" t="str">
        <f t="shared" si="21"/>
        <v xml:space="preserve">13.5 </v>
      </c>
      <c r="E90" s="5" t="str">
        <f t="shared" si="22"/>
        <v xml:space="preserve">15,5 </v>
      </c>
      <c r="F90" s="5" t="str">
        <f t="shared" si="23"/>
        <v xml:space="preserve">13,5 </v>
      </c>
      <c r="H90" s="6">
        <v>15.5</v>
      </c>
      <c r="I90" s="6">
        <v>13.5</v>
      </c>
      <c r="Q90" t="str">
        <f t="shared" si="24"/>
        <v>-27.5</v>
      </c>
      <c r="R90" t="str">
        <f t="shared" si="25"/>
        <v>-29.5</v>
      </c>
      <c r="S90" t="str">
        <f t="shared" si="26"/>
        <v>-27,5</v>
      </c>
      <c r="T90" t="str">
        <f t="shared" si="27"/>
        <v>-29,5</v>
      </c>
      <c r="V90" s="6">
        <v>-27.5</v>
      </c>
      <c r="W90" s="6">
        <v>-29.5</v>
      </c>
    </row>
    <row r="91" spans="1:23" ht="15.75" thickBot="1" x14ac:dyDescent="0.3">
      <c r="A91" s="11" t="s">
        <v>149</v>
      </c>
      <c r="B91" s="11" t="s">
        <v>162</v>
      </c>
      <c r="C91" t="str">
        <f t="shared" si="20"/>
        <v xml:space="preserve">15.5 </v>
      </c>
      <c r="D91" t="str">
        <f t="shared" si="21"/>
        <v xml:space="preserve">13.5 </v>
      </c>
      <c r="E91" s="5" t="str">
        <f t="shared" si="22"/>
        <v xml:space="preserve">15,5 </v>
      </c>
      <c r="F91" s="5" t="str">
        <f t="shared" si="23"/>
        <v xml:space="preserve">13,5 </v>
      </c>
      <c r="H91" s="6">
        <v>15.5</v>
      </c>
      <c r="I91" s="6">
        <v>13.5</v>
      </c>
      <c r="Q91" t="str">
        <f t="shared" si="24"/>
        <v>-31.5</v>
      </c>
      <c r="R91" t="str">
        <f t="shared" si="25"/>
        <v>-33.5</v>
      </c>
      <c r="S91" t="str">
        <f t="shared" si="26"/>
        <v>-31,5</v>
      </c>
      <c r="T91" t="str">
        <f t="shared" si="27"/>
        <v>-33,5</v>
      </c>
      <c r="V91" s="6">
        <v>-31.5</v>
      </c>
      <c r="W91" s="6">
        <v>-33.5</v>
      </c>
    </row>
    <row r="92" spans="1:23" ht="15.75" thickBot="1" x14ac:dyDescent="0.3">
      <c r="A92" s="7" t="s">
        <v>150</v>
      </c>
      <c r="B92" s="7" t="s">
        <v>163</v>
      </c>
      <c r="C92" t="str">
        <f t="shared" si="20"/>
        <v xml:space="preserve">57.8 </v>
      </c>
      <c r="D92" t="str">
        <f t="shared" si="21"/>
        <v xml:space="preserve">52 </v>
      </c>
      <c r="E92" s="5" t="str">
        <f t="shared" si="22"/>
        <v xml:space="preserve">57,8 </v>
      </c>
      <c r="F92" s="5" t="str">
        <f t="shared" si="23"/>
        <v xml:space="preserve">52 </v>
      </c>
      <c r="H92" s="6">
        <v>57.8</v>
      </c>
      <c r="I92" s="6">
        <v>52</v>
      </c>
      <c r="Q92" t="str">
        <f t="shared" si="24"/>
        <v>25.8</v>
      </c>
      <c r="R92" t="str">
        <f t="shared" si="25"/>
        <v>20</v>
      </c>
      <c r="S92" t="str">
        <f t="shared" si="26"/>
        <v>25,8</v>
      </c>
      <c r="T92" t="str">
        <f t="shared" si="27"/>
        <v>20</v>
      </c>
      <c r="V92" s="6">
        <v>25.8</v>
      </c>
      <c r="W92" s="6">
        <v>20</v>
      </c>
    </row>
    <row r="93" spans="1:23" ht="15.75" thickBot="1" x14ac:dyDescent="0.3">
      <c r="A93" s="7" t="s">
        <v>151</v>
      </c>
      <c r="B93" s="7" t="s">
        <v>164</v>
      </c>
      <c r="C93" t="str">
        <f t="shared" si="20"/>
        <v xml:space="preserve">55.7 </v>
      </c>
      <c r="D93" t="str">
        <f t="shared" si="21"/>
        <v xml:space="preserve">49.5 </v>
      </c>
      <c r="E93" s="5" t="str">
        <f t="shared" si="22"/>
        <v xml:space="preserve">55,7 </v>
      </c>
      <c r="F93" s="5" t="str">
        <f t="shared" si="23"/>
        <v xml:space="preserve">49,5 </v>
      </c>
      <c r="H93" s="6">
        <v>55.7</v>
      </c>
      <c r="I93" s="6">
        <v>49.5</v>
      </c>
      <c r="Q93" t="str">
        <f t="shared" si="24"/>
        <v>23.7</v>
      </c>
      <c r="R93" t="str">
        <f t="shared" si="25"/>
        <v>17.5</v>
      </c>
      <c r="S93" t="str">
        <f t="shared" si="26"/>
        <v>23,7</v>
      </c>
      <c r="T93" t="str">
        <f t="shared" si="27"/>
        <v>17,5</v>
      </c>
      <c r="V93" s="6">
        <v>23.7</v>
      </c>
      <c r="W93" s="6">
        <v>17.5</v>
      </c>
    </row>
    <row r="94" spans="1:23" ht="15.75" thickBot="1" x14ac:dyDescent="0.3">
      <c r="A94" s="4" t="s">
        <v>152</v>
      </c>
      <c r="B94" s="2" t="s">
        <v>165</v>
      </c>
      <c r="C94" t="str">
        <f t="shared" si="20"/>
        <v xml:space="preserve">27.8 </v>
      </c>
      <c r="D94" t="str">
        <f t="shared" si="21"/>
        <v xml:space="preserve">22.2 </v>
      </c>
      <c r="E94" s="5" t="str">
        <f t="shared" si="22"/>
        <v xml:space="preserve">27,8 </v>
      </c>
      <c r="F94" s="5" t="str">
        <f t="shared" si="23"/>
        <v xml:space="preserve">22,2 </v>
      </c>
      <c r="H94" s="6">
        <v>27.8</v>
      </c>
      <c r="I94" s="6">
        <v>22.2</v>
      </c>
      <c r="Q94" t="str">
        <f t="shared" si="24"/>
        <v>0.8</v>
      </c>
      <c r="R94" t="str">
        <f t="shared" si="25"/>
        <v>-4.8</v>
      </c>
      <c r="S94" t="str">
        <f t="shared" si="26"/>
        <v>0,8</v>
      </c>
      <c r="T94" t="str">
        <f t="shared" si="27"/>
        <v>-4,8</v>
      </c>
      <c r="V94" s="6">
        <v>0.8</v>
      </c>
      <c r="W94" s="6">
        <v>-4.8</v>
      </c>
    </row>
    <row r="95" spans="1:23" ht="15.75" thickBot="1" x14ac:dyDescent="0.3">
      <c r="A95" s="7" t="s">
        <v>153</v>
      </c>
      <c r="B95" s="4" t="s">
        <v>166</v>
      </c>
      <c r="C95" t="str">
        <f t="shared" si="20"/>
        <v xml:space="preserve">38.4 </v>
      </c>
      <c r="D95" t="str">
        <f t="shared" si="21"/>
        <v xml:space="preserve">28.9 </v>
      </c>
      <c r="E95" s="5" t="str">
        <f t="shared" si="22"/>
        <v xml:space="preserve">38,4 </v>
      </c>
      <c r="F95" s="5" t="str">
        <f t="shared" si="23"/>
        <v xml:space="preserve">28,9 </v>
      </c>
      <c r="H95" s="6">
        <v>38.4</v>
      </c>
      <c r="I95" s="6">
        <v>28.9</v>
      </c>
      <c r="Q95" t="str">
        <f t="shared" si="24"/>
        <v>11.4</v>
      </c>
      <c r="R95" t="str">
        <f t="shared" si="25"/>
        <v>1.9</v>
      </c>
      <c r="S95" t="str">
        <f t="shared" si="26"/>
        <v>11,4</v>
      </c>
      <c r="T95" t="str">
        <f t="shared" si="27"/>
        <v>1,9</v>
      </c>
      <c r="V95" s="6">
        <v>11.4</v>
      </c>
      <c r="W95" s="6">
        <v>1.9</v>
      </c>
    </row>
    <row r="96" spans="1:23" ht="15.75" thickBot="1" x14ac:dyDescent="0.3">
      <c r="A96" s="3" t="s">
        <v>154</v>
      </c>
      <c r="B96" s="2" t="s">
        <v>145</v>
      </c>
      <c r="C96" t="str">
        <f t="shared" si="20"/>
        <v xml:space="preserve">34.7 </v>
      </c>
      <c r="D96" t="str">
        <f t="shared" si="21"/>
        <v xml:space="preserve">29.5 </v>
      </c>
      <c r="E96" s="5" t="str">
        <f t="shared" si="22"/>
        <v xml:space="preserve">34,7 </v>
      </c>
      <c r="F96" s="5" t="str">
        <f t="shared" si="23"/>
        <v xml:space="preserve">29,5 </v>
      </c>
      <c r="H96" s="6">
        <v>34.700000000000003</v>
      </c>
      <c r="I96" s="6">
        <v>29.5</v>
      </c>
      <c r="Q96" t="str">
        <f t="shared" si="24"/>
        <v>4.7</v>
      </c>
      <c r="R96" t="str">
        <f t="shared" si="25"/>
        <v>-0.5</v>
      </c>
      <c r="S96" t="str">
        <f t="shared" si="26"/>
        <v>4,7</v>
      </c>
      <c r="T96" t="str">
        <f t="shared" si="27"/>
        <v>-0,5</v>
      </c>
      <c r="V96" s="6">
        <v>4.7</v>
      </c>
      <c r="W96" s="6">
        <v>-0.5</v>
      </c>
    </row>
    <row r="97" spans="1:23" ht="15.75" thickBot="1" x14ac:dyDescent="0.3">
      <c r="A97" s="2" t="s">
        <v>155</v>
      </c>
      <c r="B97" s="2" t="s">
        <v>167</v>
      </c>
      <c r="C97" t="str">
        <f t="shared" si="20"/>
        <v xml:space="preserve">15.8 </v>
      </c>
      <c r="D97" t="str">
        <f t="shared" si="21"/>
        <v xml:space="preserve">18.1 </v>
      </c>
      <c r="E97" s="5" t="str">
        <f t="shared" si="22"/>
        <v xml:space="preserve">15,8 </v>
      </c>
      <c r="F97" s="5" t="str">
        <f t="shared" si="23"/>
        <v xml:space="preserve">18,1 </v>
      </c>
      <c r="H97" s="6">
        <v>15.8</v>
      </c>
      <c r="I97" s="6">
        <v>18.100000000000001</v>
      </c>
      <c r="Q97" t="str">
        <f t="shared" si="24"/>
        <v>-14.2</v>
      </c>
      <c r="R97" t="str">
        <f t="shared" si="25"/>
        <v>-11.9</v>
      </c>
      <c r="S97" t="str">
        <f t="shared" si="26"/>
        <v>-14,2</v>
      </c>
      <c r="T97" t="str">
        <f t="shared" si="27"/>
        <v>-11,9</v>
      </c>
      <c r="V97" s="6">
        <v>-14.2</v>
      </c>
      <c r="W97" s="6">
        <v>-11.9</v>
      </c>
    </row>
    <row r="98" spans="1:23" ht="15.75" thickBot="1" x14ac:dyDescent="0.3">
      <c r="A98" s="2" t="s">
        <v>155</v>
      </c>
      <c r="B98" s="2" t="s">
        <v>168</v>
      </c>
      <c r="C98" t="str">
        <f t="shared" si="20"/>
        <v xml:space="preserve">15.8 </v>
      </c>
      <c r="D98" t="str">
        <f t="shared" si="21"/>
        <v xml:space="preserve">15 </v>
      </c>
      <c r="E98" s="5" t="str">
        <f t="shared" si="22"/>
        <v xml:space="preserve">15,8 </v>
      </c>
      <c r="F98" s="5" t="str">
        <f t="shared" si="23"/>
        <v xml:space="preserve">15 </v>
      </c>
      <c r="H98" s="6">
        <v>15.8</v>
      </c>
      <c r="I98" s="6">
        <v>15</v>
      </c>
      <c r="Q98" t="str">
        <f t="shared" ref="Q98:Q129" si="28">MID(A98,SEARCH("(",A98)+1,LEN(A98)-SEARCH("(",A98)-2)</f>
        <v>-14.2</v>
      </c>
      <c r="R98" t="str">
        <f t="shared" ref="R98:R129" si="29">MID(B98,SEARCH("(",B98)+1,LEN(B98)-SEARCH("(",B98)-2)</f>
        <v>-15</v>
      </c>
      <c r="S98" t="str">
        <f t="shared" si="26"/>
        <v>-14,2</v>
      </c>
      <c r="T98" t="str">
        <f t="shared" si="27"/>
        <v>-15</v>
      </c>
      <c r="V98" s="6">
        <v>-14.2</v>
      </c>
      <c r="W98" s="6">
        <v>-15</v>
      </c>
    </row>
    <row r="99" spans="1:23" ht="15.75" thickBot="1" x14ac:dyDescent="0.3">
      <c r="A99" s="2" t="s">
        <v>61</v>
      </c>
      <c r="B99" s="2" t="s">
        <v>169</v>
      </c>
      <c r="C99" t="str">
        <f t="shared" si="20"/>
        <v xml:space="preserve">9.1 </v>
      </c>
      <c r="D99" t="str">
        <f t="shared" si="21"/>
        <v xml:space="preserve">11.4 </v>
      </c>
      <c r="E99" s="5" t="str">
        <f t="shared" si="22"/>
        <v xml:space="preserve">9,1 </v>
      </c>
      <c r="F99" s="5" t="str">
        <f t="shared" si="23"/>
        <v xml:space="preserve">11,4 </v>
      </c>
      <c r="H99" s="6">
        <v>9.1</v>
      </c>
      <c r="I99" s="6">
        <v>11.4</v>
      </c>
      <c r="Q99" t="str">
        <f t="shared" si="28"/>
        <v>-26.9</v>
      </c>
      <c r="R99" t="str">
        <f t="shared" si="29"/>
        <v>-24.6</v>
      </c>
      <c r="S99" t="str">
        <f t="shared" si="26"/>
        <v>-26,9</v>
      </c>
      <c r="T99" t="str">
        <f t="shared" si="27"/>
        <v>-24,6</v>
      </c>
      <c r="V99" s="6">
        <v>-26.9</v>
      </c>
      <c r="W99" s="6">
        <v>-24.6</v>
      </c>
    </row>
    <row r="100" spans="1:23" ht="15.75" thickBot="1" x14ac:dyDescent="0.3">
      <c r="A100" s="2" t="s">
        <v>62</v>
      </c>
      <c r="B100" s="2" t="s">
        <v>170</v>
      </c>
      <c r="C100" t="str">
        <f t="shared" si="20"/>
        <v xml:space="preserve">8.9 </v>
      </c>
      <c r="D100" t="str">
        <f t="shared" si="21"/>
        <v xml:space="preserve">9.4 </v>
      </c>
      <c r="E100" s="5" t="str">
        <f t="shared" si="22"/>
        <v xml:space="preserve">8,9 </v>
      </c>
      <c r="F100" s="5" t="str">
        <f t="shared" si="23"/>
        <v xml:space="preserve">9,4 </v>
      </c>
      <c r="H100" s="6">
        <v>8.9</v>
      </c>
      <c r="I100" s="6">
        <v>9.4</v>
      </c>
      <c r="Q100" t="str">
        <f t="shared" si="28"/>
        <v>-27.1</v>
      </c>
      <c r="R100" t="str">
        <f t="shared" si="29"/>
        <v>-26.6</v>
      </c>
      <c r="S100" t="str">
        <f t="shared" si="26"/>
        <v>-27,1</v>
      </c>
      <c r="T100" t="str">
        <f t="shared" si="27"/>
        <v>-26,6</v>
      </c>
      <c r="V100" s="6">
        <v>-27.1</v>
      </c>
      <c r="W100" s="6">
        <v>-26.6</v>
      </c>
    </row>
    <row r="101" spans="1:23" ht="15.75" thickBot="1" x14ac:dyDescent="0.3">
      <c r="A101" s="2" t="s">
        <v>61</v>
      </c>
      <c r="B101" s="2" t="s">
        <v>171</v>
      </c>
      <c r="C101" t="str">
        <f t="shared" si="20"/>
        <v xml:space="preserve">9.1 </v>
      </c>
      <c r="D101" t="str">
        <f t="shared" si="21"/>
        <v xml:space="preserve">10.1 </v>
      </c>
      <c r="E101" s="5" t="str">
        <f t="shared" si="22"/>
        <v xml:space="preserve">9,1 </v>
      </c>
      <c r="F101" s="5" t="str">
        <f t="shared" si="23"/>
        <v xml:space="preserve">10,1 </v>
      </c>
      <c r="H101" s="6">
        <v>9.1</v>
      </c>
      <c r="I101" s="6">
        <v>10.1</v>
      </c>
      <c r="Q101" t="str">
        <f t="shared" si="28"/>
        <v>-26.9</v>
      </c>
      <c r="R101" t="str">
        <f t="shared" si="29"/>
        <v>-25.9</v>
      </c>
      <c r="S101" t="str">
        <f t="shared" si="26"/>
        <v>-26,9</v>
      </c>
      <c r="T101" t="str">
        <f t="shared" si="27"/>
        <v>-25,9</v>
      </c>
      <c r="V101" s="6">
        <v>-26.9</v>
      </c>
      <c r="W101" s="6">
        <v>-25.9</v>
      </c>
    </row>
    <row r="102" spans="1:23" ht="15.75" thickBot="1" x14ac:dyDescent="0.3">
      <c r="A102" s="1" t="s">
        <v>172</v>
      </c>
      <c r="B102" s="1" t="s">
        <v>187</v>
      </c>
      <c r="C102" t="str">
        <f t="shared" si="20"/>
        <v xml:space="preserve">4.2 </v>
      </c>
      <c r="D102" t="str">
        <f t="shared" si="21"/>
        <v xml:space="preserve">14.5 </v>
      </c>
      <c r="E102" s="5" t="str">
        <f t="shared" si="22"/>
        <v xml:space="preserve">4,2 </v>
      </c>
      <c r="F102" s="5" t="str">
        <f t="shared" si="23"/>
        <v xml:space="preserve">14,5 </v>
      </c>
      <c r="H102" s="6">
        <v>4.2</v>
      </c>
      <c r="I102" s="6">
        <v>14.5</v>
      </c>
      <c r="Q102" t="str">
        <f t="shared" si="28"/>
        <v>-41.8</v>
      </c>
      <c r="R102" t="str">
        <f t="shared" si="29"/>
        <v>-51.5</v>
      </c>
      <c r="S102" t="str">
        <f t="shared" si="26"/>
        <v>-41,8</v>
      </c>
      <c r="T102" t="str">
        <f t="shared" si="27"/>
        <v>-51,5</v>
      </c>
      <c r="V102" s="6">
        <v>-41.8</v>
      </c>
      <c r="W102" s="6">
        <v>-51.5</v>
      </c>
    </row>
    <row r="103" spans="1:23" ht="16.5" thickTop="1" thickBot="1" x14ac:dyDescent="0.3">
      <c r="A103" s="2" t="s">
        <v>173</v>
      </c>
      <c r="B103" s="2" t="s">
        <v>188</v>
      </c>
      <c r="C103" t="str">
        <f t="shared" si="20"/>
        <v xml:space="preserve">35.9 </v>
      </c>
      <c r="D103" t="str">
        <f t="shared" si="21"/>
        <v xml:space="preserve">15.6 </v>
      </c>
      <c r="E103" s="5" t="str">
        <f t="shared" si="22"/>
        <v xml:space="preserve">35,9 </v>
      </c>
      <c r="F103" s="5" t="str">
        <f t="shared" si="23"/>
        <v xml:space="preserve">15,6 </v>
      </c>
      <c r="H103" s="6">
        <v>35.9</v>
      </c>
      <c r="I103" s="6">
        <v>15.6</v>
      </c>
      <c r="Q103" t="str">
        <f t="shared" si="28"/>
        <v>-0.1</v>
      </c>
      <c r="R103" t="str">
        <f t="shared" si="29"/>
        <v>-40.4</v>
      </c>
      <c r="S103" t="str">
        <f t="shared" si="26"/>
        <v>-0,1</v>
      </c>
      <c r="T103" t="str">
        <f t="shared" si="27"/>
        <v>-40,4</v>
      </c>
      <c r="V103" s="6">
        <v>-0.1</v>
      </c>
      <c r="W103" s="6">
        <v>-40.4</v>
      </c>
    </row>
    <row r="104" spans="1:23" ht="15.75" thickBot="1" x14ac:dyDescent="0.3">
      <c r="A104" s="2" t="s">
        <v>174</v>
      </c>
      <c r="B104" s="2" t="s">
        <v>189</v>
      </c>
      <c r="C104" t="str">
        <f t="shared" si="20"/>
        <v xml:space="preserve">-1.6 </v>
      </c>
      <c r="D104" t="str">
        <f t="shared" si="21"/>
        <v xml:space="preserve">24.5 </v>
      </c>
      <c r="E104" s="5" t="str">
        <f t="shared" si="22"/>
        <v xml:space="preserve">-1,6 </v>
      </c>
      <c r="F104" s="5" t="str">
        <f t="shared" si="23"/>
        <v xml:space="preserve">24,5 </v>
      </c>
      <c r="H104" s="6">
        <v>-1.6</v>
      </c>
      <c r="I104" s="6">
        <v>24.5</v>
      </c>
      <c r="Q104" t="str">
        <f t="shared" si="28"/>
        <v>-33.6</v>
      </c>
      <c r="R104" t="str">
        <f t="shared" si="29"/>
        <v>-27.5</v>
      </c>
      <c r="S104" t="str">
        <f t="shared" si="26"/>
        <v>-33,6</v>
      </c>
      <c r="T104" t="str">
        <f t="shared" si="27"/>
        <v>-27,5</v>
      </c>
      <c r="V104" s="6">
        <v>-33.6</v>
      </c>
      <c r="W104" s="6">
        <v>-27.5</v>
      </c>
    </row>
    <row r="105" spans="1:23" ht="15.75" thickBot="1" x14ac:dyDescent="0.3">
      <c r="A105" s="3" t="s">
        <v>175</v>
      </c>
      <c r="B105" s="2" t="s">
        <v>190</v>
      </c>
      <c r="C105" t="str">
        <f t="shared" si="20"/>
        <v xml:space="preserve">36.3 </v>
      </c>
      <c r="D105" t="str">
        <f t="shared" si="21"/>
        <v xml:space="preserve">36.5 </v>
      </c>
      <c r="E105" s="5" t="str">
        <f t="shared" si="22"/>
        <v xml:space="preserve">36,3 </v>
      </c>
      <c r="F105" s="5" t="str">
        <f t="shared" si="23"/>
        <v xml:space="preserve">36,5 </v>
      </c>
      <c r="H105" s="6">
        <v>36.299999999999997</v>
      </c>
      <c r="I105" s="6">
        <v>36.5</v>
      </c>
      <c r="Q105" t="str">
        <f t="shared" si="28"/>
        <v>6.3</v>
      </c>
      <c r="R105" t="str">
        <f t="shared" si="29"/>
        <v>-3.5</v>
      </c>
      <c r="S105" t="str">
        <f t="shared" si="26"/>
        <v>6,3</v>
      </c>
      <c r="T105" t="str">
        <f t="shared" si="27"/>
        <v>-3,5</v>
      </c>
      <c r="V105" s="6">
        <v>6.3</v>
      </c>
      <c r="W105" s="6">
        <v>-3.5</v>
      </c>
    </row>
    <row r="106" spans="1:23" ht="15.75" thickBot="1" x14ac:dyDescent="0.3">
      <c r="A106" s="2" t="s">
        <v>176</v>
      </c>
      <c r="B106" s="2" t="s">
        <v>191</v>
      </c>
      <c r="C106" t="str">
        <f t="shared" si="20"/>
        <v xml:space="preserve">22.7 </v>
      </c>
      <c r="D106" t="str">
        <f t="shared" si="21"/>
        <v xml:space="preserve">22.3 </v>
      </c>
      <c r="E106" s="5" t="str">
        <f t="shared" si="22"/>
        <v xml:space="preserve">22,7 </v>
      </c>
      <c r="F106" s="5" t="str">
        <f t="shared" si="23"/>
        <v xml:space="preserve">22,3 </v>
      </c>
      <c r="H106" s="6">
        <v>22.7</v>
      </c>
      <c r="I106" s="6">
        <v>22.3</v>
      </c>
      <c r="Q106" t="str">
        <f t="shared" si="28"/>
        <v>-7.3</v>
      </c>
      <c r="R106" t="str">
        <f t="shared" si="29"/>
        <v>-27.7</v>
      </c>
      <c r="S106" t="str">
        <f t="shared" si="26"/>
        <v>-7,3</v>
      </c>
      <c r="T106" t="str">
        <f t="shared" si="27"/>
        <v>-27,7</v>
      </c>
      <c r="V106" s="6">
        <v>-7.3</v>
      </c>
      <c r="W106" s="6">
        <v>-27.7</v>
      </c>
    </row>
    <row r="107" spans="1:23" ht="15.75" thickBot="1" x14ac:dyDescent="0.3">
      <c r="A107" s="2" t="s">
        <v>177</v>
      </c>
      <c r="B107" s="2" t="s">
        <v>192</v>
      </c>
      <c r="C107" t="str">
        <f t="shared" si="20"/>
        <v xml:space="preserve">26.5 </v>
      </c>
      <c r="D107" t="str">
        <f t="shared" si="21"/>
        <v xml:space="preserve">34.8 </v>
      </c>
      <c r="E107" s="5" t="str">
        <f t="shared" si="22"/>
        <v xml:space="preserve">26,5 </v>
      </c>
      <c r="F107" s="5" t="str">
        <f t="shared" si="23"/>
        <v xml:space="preserve">34,8 </v>
      </c>
      <c r="H107" s="6">
        <v>26.5</v>
      </c>
      <c r="I107" s="6">
        <v>34.799999999999997</v>
      </c>
      <c r="Q107" t="str">
        <f t="shared" si="28"/>
        <v>-1.5</v>
      </c>
      <c r="R107" t="str">
        <f t="shared" si="29"/>
        <v>-3.2</v>
      </c>
      <c r="S107" t="str">
        <f t="shared" si="26"/>
        <v>-1,5</v>
      </c>
      <c r="T107" t="str">
        <f t="shared" si="27"/>
        <v>-3,2</v>
      </c>
      <c r="V107" s="6">
        <v>-1.5</v>
      </c>
      <c r="W107" s="6">
        <v>-3.2</v>
      </c>
    </row>
    <row r="108" spans="1:23" ht="15.75" thickBot="1" x14ac:dyDescent="0.3">
      <c r="A108" s="2" t="s">
        <v>178</v>
      </c>
      <c r="B108" s="2" t="s">
        <v>193</v>
      </c>
      <c r="C108" t="str">
        <f t="shared" si="20"/>
        <v xml:space="preserve">21.9 </v>
      </c>
      <c r="D108" t="str">
        <f t="shared" si="21"/>
        <v xml:space="preserve">24.4 </v>
      </c>
      <c r="E108" s="5" t="str">
        <f t="shared" si="22"/>
        <v xml:space="preserve">21,9 </v>
      </c>
      <c r="F108" s="5" t="str">
        <f t="shared" si="23"/>
        <v xml:space="preserve">24,4 </v>
      </c>
      <c r="H108" s="6">
        <v>21.9</v>
      </c>
      <c r="I108" s="6">
        <v>24.4</v>
      </c>
      <c r="Q108" t="str">
        <f t="shared" si="28"/>
        <v>-12.1</v>
      </c>
      <c r="R108" t="str">
        <f t="shared" si="29"/>
        <v>-19.6</v>
      </c>
      <c r="S108" t="str">
        <f t="shared" si="26"/>
        <v>-12,1</v>
      </c>
      <c r="T108" t="str">
        <f t="shared" si="27"/>
        <v>-19,6</v>
      </c>
      <c r="V108" s="6">
        <v>-12.1</v>
      </c>
      <c r="W108" s="6">
        <v>-19.600000000000001</v>
      </c>
    </row>
    <row r="109" spans="1:23" ht="15.75" thickBot="1" x14ac:dyDescent="0.3">
      <c r="A109" s="2" t="s">
        <v>179</v>
      </c>
      <c r="B109" s="2" t="s">
        <v>194</v>
      </c>
      <c r="C109" t="str">
        <f t="shared" si="20"/>
        <v xml:space="preserve">18.1 </v>
      </c>
      <c r="D109" t="str">
        <f t="shared" si="21"/>
        <v xml:space="preserve">24.4 </v>
      </c>
      <c r="E109" s="5" t="str">
        <f t="shared" si="22"/>
        <v xml:space="preserve">18,1 </v>
      </c>
      <c r="F109" s="5" t="str">
        <f t="shared" si="23"/>
        <v xml:space="preserve">24,4 </v>
      </c>
      <c r="H109" s="6">
        <v>18.100000000000001</v>
      </c>
      <c r="I109" s="6">
        <v>24.4</v>
      </c>
      <c r="Q109" t="str">
        <f t="shared" si="28"/>
        <v>-24.9</v>
      </c>
      <c r="R109" t="str">
        <f t="shared" si="29"/>
        <v>-28.6</v>
      </c>
      <c r="S109" t="str">
        <f t="shared" si="26"/>
        <v>-24,9</v>
      </c>
      <c r="T109" t="str">
        <f t="shared" si="27"/>
        <v>-28,6</v>
      </c>
      <c r="V109" s="6">
        <v>-24.9</v>
      </c>
      <c r="W109" s="6">
        <v>-28.6</v>
      </c>
    </row>
    <row r="110" spans="1:23" ht="15.75" thickBot="1" x14ac:dyDescent="0.3">
      <c r="A110" s="11" t="s">
        <v>180</v>
      </c>
      <c r="B110" s="11" t="s">
        <v>195</v>
      </c>
      <c r="C110" t="str">
        <f t="shared" si="20"/>
        <v xml:space="preserve">18.1 </v>
      </c>
      <c r="D110" t="str">
        <f t="shared" si="21"/>
        <v xml:space="preserve">24.3 </v>
      </c>
      <c r="E110" s="5" t="str">
        <f t="shared" si="22"/>
        <v xml:space="preserve">18,1 </v>
      </c>
      <c r="F110" s="5" t="str">
        <f t="shared" si="23"/>
        <v xml:space="preserve">24,3 </v>
      </c>
      <c r="H110" s="6">
        <v>18.100000000000001</v>
      </c>
      <c r="I110" s="6">
        <v>24.3</v>
      </c>
      <c r="Q110" t="str">
        <f t="shared" si="28"/>
        <v>-28.9</v>
      </c>
      <c r="R110" t="str">
        <f t="shared" si="29"/>
        <v>-32.7</v>
      </c>
      <c r="S110" t="str">
        <f t="shared" si="26"/>
        <v>-28,9</v>
      </c>
      <c r="T110" t="str">
        <f t="shared" si="27"/>
        <v>-32,7</v>
      </c>
      <c r="V110" s="6">
        <v>-28.9</v>
      </c>
      <c r="W110" s="6">
        <v>-32.700000000000003</v>
      </c>
    </row>
    <row r="111" spans="1:23" ht="15.75" thickBot="1" x14ac:dyDescent="0.3">
      <c r="A111" s="2" t="s">
        <v>181</v>
      </c>
      <c r="B111" s="2" t="s">
        <v>196</v>
      </c>
      <c r="C111" t="str">
        <f t="shared" si="20"/>
        <v xml:space="preserve">30.7 </v>
      </c>
      <c r="D111" t="str">
        <f t="shared" si="21"/>
        <v xml:space="preserve">42.5 </v>
      </c>
      <c r="E111" s="5" t="str">
        <f t="shared" si="22"/>
        <v xml:space="preserve">30,7 </v>
      </c>
      <c r="F111" s="5" t="str">
        <f t="shared" si="23"/>
        <v xml:space="preserve">42,5 </v>
      </c>
      <c r="H111" s="6">
        <v>30.7</v>
      </c>
      <c r="I111" s="6">
        <v>42.5</v>
      </c>
      <c r="Q111" t="str">
        <f t="shared" si="28"/>
        <v>-1.3</v>
      </c>
      <c r="R111" t="str">
        <f t="shared" si="29"/>
        <v>-9.5</v>
      </c>
      <c r="S111" t="str">
        <f t="shared" si="26"/>
        <v>-1,3</v>
      </c>
      <c r="T111" t="str">
        <f t="shared" si="27"/>
        <v>-9,5</v>
      </c>
      <c r="V111" s="6">
        <v>-1.3</v>
      </c>
      <c r="W111" s="6">
        <v>-9.5</v>
      </c>
    </row>
    <row r="112" spans="1:23" ht="15.75" thickBot="1" x14ac:dyDescent="0.3">
      <c r="A112" s="7" t="s">
        <v>182</v>
      </c>
      <c r="B112" s="2" t="s">
        <v>197</v>
      </c>
      <c r="C112" t="str">
        <f t="shared" si="20"/>
        <v xml:space="preserve">43.9 </v>
      </c>
      <c r="D112" t="str">
        <f t="shared" si="21"/>
        <v xml:space="preserve">41.4 </v>
      </c>
      <c r="E112" s="5" t="str">
        <f t="shared" si="22"/>
        <v xml:space="preserve">43,9 </v>
      </c>
      <c r="F112" s="5" t="str">
        <f t="shared" si="23"/>
        <v xml:space="preserve">41,4 </v>
      </c>
      <c r="H112" s="6">
        <v>43.9</v>
      </c>
      <c r="I112" s="6">
        <v>41.4</v>
      </c>
      <c r="Q112" t="str">
        <f t="shared" si="28"/>
        <v>11.9</v>
      </c>
      <c r="R112" t="str">
        <f t="shared" si="29"/>
        <v>-10.6</v>
      </c>
      <c r="S112" t="str">
        <f t="shared" si="26"/>
        <v>11,9</v>
      </c>
      <c r="T112" t="str">
        <f t="shared" si="27"/>
        <v>-10,6</v>
      </c>
      <c r="V112" s="6">
        <v>11.9</v>
      </c>
      <c r="W112" s="6">
        <v>-10.6</v>
      </c>
    </row>
    <row r="113" spans="1:23" ht="15.75" thickBot="1" x14ac:dyDescent="0.3">
      <c r="A113" s="4" t="s">
        <v>183</v>
      </c>
      <c r="B113" s="2" t="s">
        <v>198</v>
      </c>
      <c r="C113" t="str">
        <f t="shared" si="20"/>
        <v xml:space="preserve">27.2 </v>
      </c>
      <c r="D113" t="str">
        <f t="shared" si="21"/>
        <v xml:space="preserve">22.5 </v>
      </c>
      <c r="E113" s="5" t="str">
        <f t="shared" si="22"/>
        <v xml:space="preserve">27,2 </v>
      </c>
      <c r="F113" s="5" t="str">
        <f t="shared" si="23"/>
        <v xml:space="preserve">22,5 </v>
      </c>
      <c r="H113" s="6">
        <v>27.2</v>
      </c>
      <c r="I113" s="6">
        <v>22.5</v>
      </c>
      <c r="Q113" t="str">
        <f t="shared" si="28"/>
        <v>0.2</v>
      </c>
      <c r="R113" t="str">
        <f t="shared" si="29"/>
        <v>-24.5</v>
      </c>
      <c r="S113" t="str">
        <f t="shared" si="26"/>
        <v>0,2</v>
      </c>
      <c r="T113" t="str">
        <f t="shared" si="27"/>
        <v>-24,5</v>
      </c>
      <c r="V113" s="6">
        <v>0.2</v>
      </c>
      <c r="W113" s="6">
        <v>-24.5</v>
      </c>
    </row>
    <row r="114" spans="1:23" ht="15.75" thickBot="1" x14ac:dyDescent="0.3">
      <c r="A114" s="2" t="s">
        <v>184</v>
      </c>
      <c r="B114" s="2" t="s">
        <v>199</v>
      </c>
      <c r="C114" t="str">
        <f t="shared" si="20"/>
        <v xml:space="preserve">22.9 </v>
      </c>
      <c r="D114" t="str">
        <f t="shared" si="21"/>
        <v xml:space="preserve">24.5 </v>
      </c>
      <c r="E114" s="5" t="str">
        <f t="shared" si="22"/>
        <v xml:space="preserve">22,9 </v>
      </c>
      <c r="F114" s="5" t="str">
        <f t="shared" si="23"/>
        <v xml:space="preserve">24,5 </v>
      </c>
      <c r="H114" s="6">
        <v>22.9</v>
      </c>
      <c r="I114" s="6">
        <v>24.5</v>
      </c>
      <c r="Q114" t="str">
        <f t="shared" si="28"/>
        <v>-4.1</v>
      </c>
      <c r="R114" t="str">
        <f t="shared" si="29"/>
        <v>-22.5</v>
      </c>
      <c r="S114" t="str">
        <f t="shared" si="26"/>
        <v>-4,1</v>
      </c>
      <c r="T114" t="str">
        <f t="shared" si="27"/>
        <v>-22,5</v>
      </c>
      <c r="V114" s="6">
        <v>-4.0999999999999996</v>
      </c>
      <c r="W114" s="6">
        <v>-22.5</v>
      </c>
    </row>
    <row r="115" spans="1:23" ht="15.75" thickBot="1" x14ac:dyDescent="0.3">
      <c r="A115" s="4" t="s">
        <v>185</v>
      </c>
      <c r="B115" s="2" t="s">
        <v>200</v>
      </c>
      <c r="C115" t="str">
        <f t="shared" si="20"/>
        <v xml:space="preserve">31 </v>
      </c>
      <c r="D115" t="str">
        <f t="shared" si="21"/>
        <v xml:space="preserve">36.6 </v>
      </c>
      <c r="E115" s="5" t="str">
        <f t="shared" si="22"/>
        <v xml:space="preserve">31 </v>
      </c>
      <c r="F115" s="5" t="str">
        <f t="shared" si="23"/>
        <v xml:space="preserve">36,6 </v>
      </c>
      <c r="H115" s="6">
        <v>31</v>
      </c>
      <c r="I115" s="6">
        <v>36.6</v>
      </c>
      <c r="Q115" t="str">
        <f t="shared" si="28"/>
        <v>1</v>
      </c>
      <c r="R115" t="str">
        <f t="shared" si="29"/>
        <v>-7.4</v>
      </c>
      <c r="S115" t="str">
        <f t="shared" si="26"/>
        <v>1</v>
      </c>
      <c r="T115" t="str">
        <f t="shared" si="27"/>
        <v>-7,4</v>
      </c>
      <c r="V115" s="6">
        <v>1</v>
      </c>
      <c r="W115" s="6">
        <v>-7.4</v>
      </c>
    </row>
    <row r="116" spans="1:23" ht="15.75" thickBot="1" x14ac:dyDescent="0.3">
      <c r="A116" s="2" t="s">
        <v>186</v>
      </c>
      <c r="B116" s="2" t="s">
        <v>201</v>
      </c>
      <c r="C116" t="str">
        <f t="shared" si="20"/>
        <v xml:space="preserve">17.1 </v>
      </c>
      <c r="D116" t="str">
        <f t="shared" si="21"/>
        <v xml:space="preserve">22.9 </v>
      </c>
      <c r="E116" s="5" t="str">
        <f t="shared" si="22"/>
        <v xml:space="preserve">17,1 </v>
      </c>
      <c r="F116" s="5" t="str">
        <f t="shared" si="23"/>
        <v xml:space="preserve">22,9 </v>
      </c>
      <c r="H116" s="6">
        <v>17.100000000000001</v>
      </c>
      <c r="I116" s="6">
        <v>22.9</v>
      </c>
      <c r="Q116" t="str">
        <f t="shared" si="28"/>
        <v>-12.9</v>
      </c>
      <c r="R116" t="str">
        <f t="shared" si="29"/>
        <v>-27.1</v>
      </c>
      <c r="S116" t="str">
        <f t="shared" si="26"/>
        <v>-12,9</v>
      </c>
      <c r="T116" t="str">
        <f t="shared" si="27"/>
        <v>-27,1</v>
      </c>
      <c r="V116" s="6">
        <v>-12.9</v>
      </c>
      <c r="W116" s="6">
        <v>-27.1</v>
      </c>
    </row>
    <row r="117" spans="1:23" ht="15.75" thickBot="1" x14ac:dyDescent="0.3">
      <c r="A117" s="2" t="s">
        <v>186</v>
      </c>
      <c r="B117" s="2" t="s">
        <v>202</v>
      </c>
      <c r="C117" t="str">
        <f t="shared" si="20"/>
        <v xml:space="preserve">17.1 </v>
      </c>
      <c r="D117" t="str">
        <f t="shared" si="21"/>
        <v xml:space="preserve">20.7 </v>
      </c>
      <c r="E117" s="5" t="str">
        <f t="shared" si="22"/>
        <v xml:space="preserve">17,1 </v>
      </c>
      <c r="F117" s="5" t="str">
        <f t="shared" si="23"/>
        <v xml:space="preserve">20,7 </v>
      </c>
      <c r="H117" s="6">
        <v>17.100000000000001</v>
      </c>
      <c r="I117" s="6">
        <v>20.7</v>
      </c>
      <c r="Q117" t="str">
        <f t="shared" si="28"/>
        <v>-12.9</v>
      </c>
      <c r="R117" t="str">
        <f t="shared" si="29"/>
        <v>-23.3</v>
      </c>
      <c r="S117" t="str">
        <f t="shared" si="26"/>
        <v>-12,9</v>
      </c>
      <c r="T117" t="str">
        <f t="shared" si="27"/>
        <v>-23,3</v>
      </c>
      <c r="V117" s="6">
        <v>-12.9</v>
      </c>
      <c r="W117" s="6">
        <v>-23.3</v>
      </c>
    </row>
    <row r="118" spans="1:23" ht="15.75" thickBot="1" x14ac:dyDescent="0.3">
      <c r="A118" s="2" t="s">
        <v>96</v>
      </c>
      <c r="B118" s="2" t="s">
        <v>203</v>
      </c>
      <c r="C118" t="str">
        <f t="shared" si="20"/>
        <v xml:space="preserve">9.2 </v>
      </c>
      <c r="D118" t="str">
        <f t="shared" si="21"/>
        <v xml:space="preserve">24.4 </v>
      </c>
      <c r="E118" s="5" t="str">
        <f t="shared" si="22"/>
        <v xml:space="preserve">9,2 </v>
      </c>
      <c r="F118" s="5" t="str">
        <f t="shared" si="23"/>
        <v xml:space="preserve">24,4 </v>
      </c>
      <c r="H118" s="6">
        <v>9.1999999999999993</v>
      </c>
      <c r="I118" s="6">
        <v>24.4</v>
      </c>
      <c r="Q118" t="str">
        <f t="shared" si="28"/>
        <v>-26.8</v>
      </c>
      <c r="R118" t="str">
        <f t="shared" si="29"/>
        <v>-31.6</v>
      </c>
      <c r="S118" t="str">
        <f t="shared" si="26"/>
        <v>-26,8</v>
      </c>
      <c r="T118" t="str">
        <f t="shared" si="27"/>
        <v>-31,6</v>
      </c>
      <c r="V118" s="6">
        <v>-26.8</v>
      </c>
      <c r="W118" s="6">
        <v>-31.6</v>
      </c>
    </row>
    <row r="119" spans="1:23" ht="15.75" thickBot="1" x14ac:dyDescent="0.3">
      <c r="A119" s="2" t="s">
        <v>62</v>
      </c>
      <c r="B119" s="2" t="s">
        <v>203</v>
      </c>
      <c r="C119" t="str">
        <f t="shared" si="20"/>
        <v xml:space="preserve">8.9 </v>
      </c>
      <c r="D119" t="str">
        <f t="shared" si="21"/>
        <v xml:space="preserve">24.4 </v>
      </c>
      <c r="E119" s="5" t="str">
        <f t="shared" si="22"/>
        <v xml:space="preserve">8,9 </v>
      </c>
      <c r="F119" s="5" t="str">
        <f t="shared" si="23"/>
        <v xml:space="preserve">24,4 </v>
      </c>
      <c r="H119" s="6">
        <v>8.9</v>
      </c>
      <c r="I119" s="6">
        <v>24.4</v>
      </c>
      <c r="Q119" t="str">
        <f t="shared" si="28"/>
        <v>-27.1</v>
      </c>
      <c r="R119" t="str">
        <f t="shared" si="29"/>
        <v>-31.6</v>
      </c>
      <c r="S119" t="str">
        <f t="shared" si="26"/>
        <v>-27,1</v>
      </c>
      <c r="T119" t="str">
        <f t="shared" si="27"/>
        <v>-31,6</v>
      </c>
      <c r="V119" s="6">
        <v>-27.1</v>
      </c>
      <c r="W119" s="6">
        <v>-31.6</v>
      </c>
    </row>
    <row r="120" spans="1:23" ht="15.75" thickBot="1" x14ac:dyDescent="0.3">
      <c r="A120" s="2" t="s">
        <v>96</v>
      </c>
      <c r="B120" s="2" t="s">
        <v>204</v>
      </c>
      <c r="C120" t="str">
        <f t="shared" si="20"/>
        <v xml:space="preserve">9.2 </v>
      </c>
      <c r="D120" t="str">
        <f t="shared" si="21"/>
        <v xml:space="preserve">24.2 </v>
      </c>
      <c r="E120" s="5" t="str">
        <f t="shared" si="22"/>
        <v xml:space="preserve">9,2 </v>
      </c>
      <c r="F120" s="5" t="str">
        <f t="shared" si="23"/>
        <v xml:space="preserve">24,2 </v>
      </c>
      <c r="H120" s="6">
        <v>9.1999999999999993</v>
      </c>
      <c r="I120" s="6">
        <v>24.2</v>
      </c>
      <c r="Q120" t="str">
        <f t="shared" si="28"/>
        <v>-26.8</v>
      </c>
      <c r="R120" t="str">
        <f t="shared" si="29"/>
        <v>-31.8</v>
      </c>
      <c r="S120" t="str">
        <f t="shared" si="26"/>
        <v>-26,8</v>
      </c>
      <c r="T120" t="str">
        <f t="shared" si="27"/>
        <v>-31,8</v>
      </c>
      <c r="V120" s="6">
        <v>-26.8</v>
      </c>
      <c r="W120" s="6">
        <v>-31.8</v>
      </c>
    </row>
    <row r="121" spans="1:23" ht="15.75" thickBot="1" x14ac:dyDescent="0.3">
      <c r="A121" s="1" t="s">
        <v>205</v>
      </c>
      <c r="B121" s="1" t="s">
        <v>45</v>
      </c>
      <c r="C121" t="str">
        <f t="shared" si="20"/>
        <v xml:space="preserve">4 </v>
      </c>
      <c r="D121" t="str">
        <f t="shared" si="21"/>
        <v xml:space="preserve">1.6 </v>
      </c>
      <c r="E121" s="5" t="str">
        <f t="shared" si="22"/>
        <v xml:space="preserve">4 </v>
      </c>
      <c r="F121" s="5" t="str">
        <f t="shared" si="23"/>
        <v xml:space="preserve">1,6 </v>
      </c>
      <c r="H121" s="6">
        <v>4</v>
      </c>
      <c r="I121" s="6">
        <v>1.6</v>
      </c>
      <c r="Q121" t="str">
        <f t="shared" si="28"/>
        <v>-42</v>
      </c>
      <c r="R121" t="str">
        <f t="shared" si="29"/>
        <v>-44.4</v>
      </c>
      <c r="S121" t="str">
        <f t="shared" si="26"/>
        <v>-42</v>
      </c>
      <c r="T121" t="str">
        <f t="shared" si="27"/>
        <v>-44,4</v>
      </c>
      <c r="V121" s="6">
        <v>-42</v>
      </c>
      <c r="W121" s="6">
        <v>-44.4</v>
      </c>
    </row>
    <row r="122" spans="1:23" ht="16.5" thickTop="1" thickBot="1" x14ac:dyDescent="0.3">
      <c r="A122" s="2" t="s">
        <v>206</v>
      </c>
      <c r="B122" s="2" t="s">
        <v>219</v>
      </c>
      <c r="C122" t="str">
        <f t="shared" si="20"/>
        <v xml:space="preserve">34.6 </v>
      </c>
      <c r="D122" t="str">
        <f t="shared" si="21"/>
        <v xml:space="preserve">-7 </v>
      </c>
      <c r="E122" s="5" t="str">
        <f t="shared" si="22"/>
        <v xml:space="preserve">34,6 </v>
      </c>
      <c r="F122" s="5" t="str">
        <f t="shared" si="23"/>
        <v xml:space="preserve">-7 </v>
      </c>
      <c r="H122" s="6">
        <v>34.6</v>
      </c>
      <c r="I122" s="6">
        <v>-7</v>
      </c>
      <c r="Q122" t="str">
        <f t="shared" si="28"/>
        <v>-1.4</v>
      </c>
      <c r="R122" t="str">
        <f t="shared" si="29"/>
        <v>-43</v>
      </c>
      <c r="S122" t="str">
        <f t="shared" si="26"/>
        <v>-1,4</v>
      </c>
      <c r="T122" t="str">
        <f t="shared" si="27"/>
        <v>-43</v>
      </c>
      <c r="V122" s="6">
        <v>-1.4</v>
      </c>
      <c r="W122" s="6">
        <v>-43</v>
      </c>
    </row>
    <row r="123" spans="1:23" ht="15.75" thickBot="1" x14ac:dyDescent="0.3">
      <c r="A123" s="2" t="s">
        <v>207</v>
      </c>
      <c r="B123" s="2" t="s">
        <v>220</v>
      </c>
      <c r="C123" t="str">
        <f t="shared" si="20"/>
        <v xml:space="preserve">-6.3 </v>
      </c>
      <c r="D123" t="str">
        <f t="shared" si="21"/>
        <v xml:space="preserve">-7.7 </v>
      </c>
      <c r="E123" s="5" t="str">
        <f t="shared" si="22"/>
        <v xml:space="preserve">-6,3 </v>
      </c>
      <c r="F123" s="5" t="str">
        <f t="shared" si="23"/>
        <v xml:space="preserve">-7,7 </v>
      </c>
      <c r="H123" s="6">
        <v>-6.3</v>
      </c>
      <c r="I123" s="6">
        <v>-7.7</v>
      </c>
      <c r="Q123" t="str">
        <f t="shared" si="28"/>
        <v>-38.3</v>
      </c>
      <c r="R123" t="str">
        <f t="shared" si="29"/>
        <v>-39.7</v>
      </c>
      <c r="S123" t="str">
        <f t="shared" si="26"/>
        <v>-38,3</v>
      </c>
      <c r="T123" t="str">
        <f t="shared" si="27"/>
        <v>-39,7</v>
      </c>
      <c r="V123" s="6">
        <v>-38.299999999999997</v>
      </c>
      <c r="W123" s="6">
        <v>-39.700000000000003</v>
      </c>
    </row>
    <row r="124" spans="1:23" ht="15.75" thickBot="1" x14ac:dyDescent="0.3">
      <c r="A124" s="3" t="s">
        <v>208</v>
      </c>
      <c r="B124" s="3" t="s">
        <v>221</v>
      </c>
      <c r="C124" t="str">
        <f t="shared" si="20"/>
        <v xml:space="preserve">35.1 </v>
      </c>
      <c r="D124" t="str">
        <f t="shared" si="21"/>
        <v xml:space="preserve">37.1 </v>
      </c>
      <c r="E124" s="5" t="str">
        <f t="shared" si="22"/>
        <v xml:space="preserve">35,1 </v>
      </c>
      <c r="F124" s="5" t="str">
        <f t="shared" si="23"/>
        <v xml:space="preserve">37,1 </v>
      </c>
      <c r="H124" s="6">
        <v>35.1</v>
      </c>
      <c r="I124" s="6">
        <v>37.1</v>
      </c>
      <c r="Q124" t="str">
        <f t="shared" si="28"/>
        <v>5.1</v>
      </c>
      <c r="R124" t="str">
        <f t="shared" si="29"/>
        <v>7.1</v>
      </c>
      <c r="S124" t="str">
        <f t="shared" si="26"/>
        <v>5,1</v>
      </c>
      <c r="T124" t="str">
        <f t="shared" si="27"/>
        <v>7,1</v>
      </c>
      <c r="V124" s="6">
        <v>5.0999999999999996</v>
      </c>
      <c r="W124" s="6">
        <v>7.1</v>
      </c>
    </row>
    <row r="125" spans="1:23" ht="15.75" thickBot="1" x14ac:dyDescent="0.3">
      <c r="A125" s="2" t="s">
        <v>31</v>
      </c>
      <c r="B125" s="2" t="s">
        <v>222</v>
      </c>
      <c r="C125" t="str">
        <f t="shared" si="20"/>
        <v xml:space="preserve">21.8 </v>
      </c>
      <c r="D125" t="str">
        <f t="shared" si="21"/>
        <v xml:space="preserve">17.2 </v>
      </c>
      <c r="E125" s="5" t="str">
        <f t="shared" si="22"/>
        <v xml:space="preserve">21,8 </v>
      </c>
      <c r="F125" s="5" t="str">
        <f t="shared" si="23"/>
        <v xml:space="preserve">17,2 </v>
      </c>
      <c r="H125" s="6">
        <v>21.8</v>
      </c>
      <c r="I125" s="6">
        <v>17.2</v>
      </c>
      <c r="Q125" t="str">
        <f t="shared" si="28"/>
        <v>-8.2</v>
      </c>
      <c r="R125" t="str">
        <f t="shared" si="29"/>
        <v>-12.8</v>
      </c>
      <c r="S125" t="str">
        <f t="shared" si="26"/>
        <v>-8,2</v>
      </c>
      <c r="T125" t="str">
        <f t="shared" si="27"/>
        <v>-12,8</v>
      </c>
      <c r="V125" s="6">
        <v>-8.1999999999999993</v>
      </c>
      <c r="W125" s="6">
        <v>-12.8</v>
      </c>
    </row>
    <row r="126" spans="1:23" ht="15.75" thickBot="1" x14ac:dyDescent="0.3">
      <c r="A126" s="2" t="s">
        <v>209</v>
      </c>
      <c r="B126" s="2" t="s">
        <v>223</v>
      </c>
      <c r="C126" t="str">
        <f t="shared" si="20"/>
        <v xml:space="preserve">24 </v>
      </c>
      <c r="D126" t="str">
        <f t="shared" si="21"/>
        <v xml:space="preserve">24.8 </v>
      </c>
      <c r="E126" s="5" t="str">
        <f t="shared" si="22"/>
        <v xml:space="preserve">24 </v>
      </c>
      <c r="F126" s="5" t="str">
        <f t="shared" si="23"/>
        <v xml:space="preserve">24,8 </v>
      </c>
      <c r="H126" s="6">
        <v>24</v>
      </c>
      <c r="I126" s="6">
        <v>24.8</v>
      </c>
      <c r="Q126" t="str">
        <f t="shared" si="28"/>
        <v>-4</v>
      </c>
      <c r="R126" t="str">
        <f t="shared" si="29"/>
        <v>-3.2</v>
      </c>
      <c r="S126" t="str">
        <f t="shared" si="26"/>
        <v>-4</v>
      </c>
      <c r="T126" t="str">
        <f t="shared" si="27"/>
        <v>-3,2</v>
      </c>
      <c r="V126" s="6">
        <v>-4</v>
      </c>
      <c r="W126" s="6">
        <v>-3.2</v>
      </c>
    </row>
    <row r="127" spans="1:23" ht="15.75" thickBot="1" x14ac:dyDescent="0.3">
      <c r="A127" s="2" t="s">
        <v>210</v>
      </c>
      <c r="B127" s="2" t="s">
        <v>224</v>
      </c>
      <c r="C127" t="str">
        <f t="shared" si="20"/>
        <v xml:space="preserve">24 </v>
      </c>
      <c r="D127" t="str">
        <f t="shared" si="21"/>
        <v xml:space="preserve">19 </v>
      </c>
      <c r="E127" s="5" t="str">
        <f t="shared" si="22"/>
        <v xml:space="preserve">24 </v>
      </c>
      <c r="F127" s="5" t="str">
        <f t="shared" si="23"/>
        <v xml:space="preserve">19 </v>
      </c>
      <c r="H127" s="6">
        <v>24</v>
      </c>
      <c r="I127" s="6">
        <v>19</v>
      </c>
      <c r="Q127" t="str">
        <f t="shared" si="28"/>
        <v>-10</v>
      </c>
      <c r="R127" t="str">
        <f t="shared" si="29"/>
        <v>-15</v>
      </c>
      <c r="S127" t="str">
        <f t="shared" si="26"/>
        <v>-10</v>
      </c>
      <c r="T127" t="str">
        <f t="shared" si="27"/>
        <v>-15</v>
      </c>
      <c r="V127" s="6">
        <v>-10</v>
      </c>
      <c r="W127" s="6">
        <v>-15</v>
      </c>
    </row>
    <row r="128" spans="1:23" ht="15.75" thickBot="1" x14ac:dyDescent="0.3">
      <c r="A128" s="2" t="s">
        <v>211</v>
      </c>
      <c r="B128" s="2" t="s">
        <v>225</v>
      </c>
      <c r="C128" t="str">
        <f t="shared" ref="C128:C139" si="30">LEFT(A128,SEARCH(" ",A128))</f>
        <v xml:space="preserve">14.8 </v>
      </c>
      <c r="D128" t="str">
        <f t="shared" ref="D128:D139" si="31">LEFT(B128,SEARCH(" ",B128))</f>
        <v xml:space="preserve">12.6 </v>
      </c>
      <c r="E128" s="5" t="str">
        <f t="shared" ref="E128:E139" si="32">IFERROR(REPLACE(C128,SEARCH(".",C128),1,","),C128)</f>
        <v xml:space="preserve">14,8 </v>
      </c>
      <c r="F128" s="5" t="str">
        <f t="shared" ref="F128:F139" si="33">IFERROR(REPLACE(D128,SEARCH(".",D128),1,","),D128)</f>
        <v xml:space="preserve">12,6 </v>
      </c>
      <c r="H128" s="6">
        <v>14.8</v>
      </c>
      <c r="I128" s="6">
        <v>12.6</v>
      </c>
      <c r="Q128" t="str">
        <f t="shared" si="28"/>
        <v>-28.2</v>
      </c>
      <c r="R128" t="str">
        <f t="shared" si="29"/>
        <v>-30.4</v>
      </c>
      <c r="S128" t="str">
        <f t="shared" si="26"/>
        <v>-28,2</v>
      </c>
      <c r="T128" t="str">
        <f t="shared" si="27"/>
        <v>-30,4</v>
      </c>
      <c r="V128" s="6">
        <v>-28.2</v>
      </c>
      <c r="W128" s="6">
        <v>-30.4</v>
      </c>
    </row>
    <row r="129" spans="1:23" ht="15.75" thickBot="1" x14ac:dyDescent="0.3">
      <c r="A129" s="11" t="s">
        <v>212</v>
      </c>
      <c r="B129" s="11" t="s">
        <v>226</v>
      </c>
      <c r="C129" t="str">
        <f t="shared" si="30"/>
        <v xml:space="preserve">14.8 </v>
      </c>
      <c r="D129" t="str">
        <f t="shared" si="31"/>
        <v xml:space="preserve">9.5 </v>
      </c>
      <c r="E129" s="5" t="str">
        <f t="shared" si="32"/>
        <v xml:space="preserve">14,8 </v>
      </c>
      <c r="F129" s="5" t="str">
        <f t="shared" si="33"/>
        <v xml:space="preserve">9,5 </v>
      </c>
      <c r="H129" s="6">
        <v>14.8</v>
      </c>
      <c r="I129" s="6">
        <v>9.5</v>
      </c>
      <c r="Q129" t="str">
        <f t="shared" si="28"/>
        <v>-32.2</v>
      </c>
      <c r="R129" t="str">
        <f t="shared" si="29"/>
        <v>-37.5</v>
      </c>
      <c r="S129" t="str">
        <f t="shared" si="26"/>
        <v>-32,2</v>
      </c>
      <c r="T129" t="str">
        <f t="shared" si="27"/>
        <v>-37,5</v>
      </c>
      <c r="V129" s="6">
        <v>-32.200000000000003</v>
      </c>
      <c r="W129" s="6">
        <v>-37.5</v>
      </c>
    </row>
    <row r="130" spans="1:23" ht="15.75" thickBot="1" x14ac:dyDescent="0.3">
      <c r="A130" s="2" t="s">
        <v>213</v>
      </c>
      <c r="B130" s="2" t="s">
        <v>227</v>
      </c>
      <c r="C130" t="str">
        <f t="shared" si="30"/>
        <v xml:space="preserve">29.6 </v>
      </c>
      <c r="D130" t="str">
        <f t="shared" si="31"/>
        <v xml:space="preserve">-1.9 </v>
      </c>
      <c r="E130" s="5" t="str">
        <f t="shared" si="32"/>
        <v xml:space="preserve">29,6 </v>
      </c>
      <c r="F130" s="5" t="str">
        <f t="shared" si="33"/>
        <v xml:space="preserve">-1,9 </v>
      </c>
      <c r="H130" s="6">
        <v>29.6</v>
      </c>
      <c r="I130" s="6">
        <v>-1.9</v>
      </c>
      <c r="Q130" t="str">
        <f t="shared" ref="Q130:Q139" si="34">MID(A130,SEARCH("(",A130)+1,LEN(A130)-SEARCH("(",A130)-2)</f>
        <v>-2.4</v>
      </c>
      <c r="R130" t="str">
        <f t="shared" ref="R130:R139" si="35">MID(B130,SEARCH("(",B130)+1,LEN(B130)-SEARCH("(",B130)-2)</f>
        <v>-33.9</v>
      </c>
      <c r="S130" t="str">
        <f t="shared" si="26"/>
        <v>-2,4</v>
      </c>
      <c r="T130" t="str">
        <f t="shared" si="27"/>
        <v>-33,9</v>
      </c>
      <c r="V130" s="6">
        <v>-2.4</v>
      </c>
      <c r="W130" s="6">
        <v>-33.9</v>
      </c>
    </row>
    <row r="131" spans="1:23" ht="15.75" thickBot="1" x14ac:dyDescent="0.3">
      <c r="A131" s="7" t="s">
        <v>214</v>
      </c>
      <c r="B131" s="3" t="s">
        <v>228</v>
      </c>
      <c r="C131" t="str">
        <f t="shared" si="30"/>
        <v xml:space="preserve">43.8 </v>
      </c>
      <c r="D131" t="str">
        <f t="shared" si="31"/>
        <v xml:space="preserve">38.8 </v>
      </c>
      <c r="E131" s="5" t="str">
        <f t="shared" si="32"/>
        <v xml:space="preserve">43,8 </v>
      </c>
      <c r="F131" s="5" t="str">
        <f t="shared" si="33"/>
        <v xml:space="preserve">38,8 </v>
      </c>
      <c r="H131" s="6">
        <v>43.8</v>
      </c>
      <c r="I131" s="6">
        <v>38.799999999999997</v>
      </c>
      <c r="Q131" t="str">
        <f t="shared" si="34"/>
        <v>11.8</v>
      </c>
      <c r="R131" t="str">
        <f t="shared" si="35"/>
        <v>6.8</v>
      </c>
      <c r="S131" t="str">
        <f t="shared" si="26"/>
        <v>11,8</v>
      </c>
      <c r="T131" t="str">
        <f t="shared" si="27"/>
        <v>6,8</v>
      </c>
      <c r="V131" s="6">
        <v>11.8</v>
      </c>
      <c r="W131" s="6">
        <v>6.8</v>
      </c>
    </row>
    <row r="132" spans="1:23" ht="15.75" thickBot="1" x14ac:dyDescent="0.3">
      <c r="A132" s="4" t="s">
        <v>215</v>
      </c>
      <c r="B132" s="2" t="s">
        <v>229</v>
      </c>
      <c r="C132" t="str">
        <f t="shared" si="30"/>
        <v xml:space="preserve">27.3 </v>
      </c>
      <c r="D132" t="str">
        <f t="shared" si="31"/>
        <v xml:space="preserve">18.9 </v>
      </c>
      <c r="E132" s="5" t="str">
        <f t="shared" si="32"/>
        <v xml:space="preserve">27,3 </v>
      </c>
      <c r="F132" s="5" t="str">
        <f t="shared" si="33"/>
        <v xml:space="preserve">18,9 </v>
      </c>
      <c r="H132" s="6">
        <v>27.3</v>
      </c>
      <c r="I132" s="6">
        <v>18.899999999999999</v>
      </c>
      <c r="Q132" t="str">
        <f t="shared" si="34"/>
        <v>0.3</v>
      </c>
      <c r="R132" t="str">
        <f t="shared" si="35"/>
        <v>-8.1</v>
      </c>
      <c r="S132" t="str">
        <f t="shared" si="26"/>
        <v>0,3</v>
      </c>
      <c r="T132" t="str">
        <f t="shared" si="27"/>
        <v>-8,1</v>
      </c>
      <c r="V132" s="6">
        <v>0.3</v>
      </c>
      <c r="W132" s="6">
        <v>-8.1</v>
      </c>
    </row>
    <row r="133" spans="1:23" ht="15.75" thickBot="1" x14ac:dyDescent="0.3">
      <c r="A133" s="2" t="s">
        <v>216</v>
      </c>
      <c r="B133" s="2" t="s">
        <v>230</v>
      </c>
      <c r="C133" t="str">
        <f t="shared" si="30"/>
        <v xml:space="preserve">22.8 </v>
      </c>
      <c r="D133" t="str">
        <f t="shared" si="31"/>
        <v xml:space="preserve">20.1 </v>
      </c>
      <c r="E133" s="5" t="str">
        <f t="shared" si="32"/>
        <v xml:space="preserve">22,8 </v>
      </c>
      <c r="F133" s="5" t="str">
        <f t="shared" si="33"/>
        <v xml:space="preserve">20,1 </v>
      </c>
      <c r="H133" s="6">
        <v>22.8</v>
      </c>
      <c r="I133" s="6">
        <v>20.100000000000001</v>
      </c>
      <c r="Q133" t="str">
        <f t="shared" si="34"/>
        <v>-4.2</v>
      </c>
      <c r="R133" t="str">
        <f t="shared" si="35"/>
        <v>-6.9</v>
      </c>
      <c r="S133" t="str">
        <f t="shared" si="26"/>
        <v>-4,2</v>
      </c>
      <c r="T133" t="str">
        <f t="shared" si="27"/>
        <v>-6,9</v>
      </c>
      <c r="V133" s="6">
        <v>-4.2</v>
      </c>
      <c r="W133" s="6">
        <v>-6.9</v>
      </c>
    </row>
    <row r="134" spans="1:23" ht="15.75" thickBot="1" x14ac:dyDescent="0.3">
      <c r="A134" s="2" t="s">
        <v>217</v>
      </c>
      <c r="B134" s="2" t="s">
        <v>108</v>
      </c>
      <c r="C134" t="str">
        <f t="shared" si="30"/>
        <v xml:space="preserve">19.2 </v>
      </c>
      <c r="D134" t="str">
        <f t="shared" si="31"/>
        <v xml:space="preserve">23.1 </v>
      </c>
      <c r="E134" s="5" t="str">
        <f t="shared" si="32"/>
        <v xml:space="preserve">19,2 </v>
      </c>
      <c r="F134" s="5" t="str">
        <f t="shared" si="33"/>
        <v xml:space="preserve">23,1 </v>
      </c>
      <c r="H134" s="6">
        <v>19.2</v>
      </c>
      <c r="I134" s="6">
        <v>23.1</v>
      </c>
      <c r="Q134" t="str">
        <f t="shared" si="34"/>
        <v>-10.8</v>
      </c>
      <c r="R134" t="str">
        <f t="shared" si="35"/>
        <v>-6.9</v>
      </c>
      <c r="S134" t="str">
        <f t="shared" si="26"/>
        <v>-10,8</v>
      </c>
      <c r="T134" t="str">
        <f t="shared" si="27"/>
        <v>-6,9</v>
      </c>
      <c r="V134" s="6">
        <v>-10.8</v>
      </c>
      <c r="W134" s="6">
        <v>-6.9</v>
      </c>
    </row>
    <row r="135" spans="1:23" ht="15.75" thickBot="1" x14ac:dyDescent="0.3">
      <c r="A135" s="2" t="s">
        <v>218</v>
      </c>
      <c r="B135" s="2" t="s">
        <v>231</v>
      </c>
      <c r="C135" t="str">
        <f t="shared" si="30"/>
        <v xml:space="preserve">14.9 </v>
      </c>
      <c r="D135" t="str">
        <f t="shared" si="31"/>
        <v xml:space="preserve">6.8 </v>
      </c>
      <c r="E135" s="5" t="str">
        <f t="shared" si="32"/>
        <v xml:space="preserve">14,9 </v>
      </c>
      <c r="F135" s="5" t="str">
        <f t="shared" si="33"/>
        <v xml:space="preserve">6,8 </v>
      </c>
      <c r="H135" s="6">
        <v>14.9</v>
      </c>
      <c r="I135" s="6">
        <v>6.8</v>
      </c>
      <c r="Q135" t="str">
        <f t="shared" si="34"/>
        <v>-15.1</v>
      </c>
      <c r="R135" t="str">
        <f t="shared" si="35"/>
        <v>-23.2</v>
      </c>
      <c r="S135" t="str">
        <f t="shared" si="26"/>
        <v>-15,1</v>
      </c>
      <c r="T135" t="str">
        <f t="shared" si="27"/>
        <v>-23,2</v>
      </c>
      <c r="V135" s="6">
        <v>-15.1</v>
      </c>
      <c r="W135" s="6">
        <v>-23.2</v>
      </c>
    </row>
    <row r="136" spans="1:23" ht="15.75" thickBot="1" x14ac:dyDescent="0.3">
      <c r="A136" s="2" t="s">
        <v>139</v>
      </c>
      <c r="B136" s="2" t="s">
        <v>231</v>
      </c>
      <c r="C136" t="str">
        <f t="shared" si="30"/>
        <v xml:space="preserve">10.1 </v>
      </c>
      <c r="D136" t="str">
        <f t="shared" si="31"/>
        <v xml:space="preserve">6.8 </v>
      </c>
      <c r="E136" s="5" t="str">
        <f t="shared" si="32"/>
        <v xml:space="preserve">10,1 </v>
      </c>
      <c r="F136" s="5" t="str">
        <f t="shared" si="33"/>
        <v xml:space="preserve">6,8 </v>
      </c>
      <c r="H136" s="6">
        <v>10.1</v>
      </c>
      <c r="I136" s="6">
        <v>6.8</v>
      </c>
      <c r="Q136" t="str">
        <f t="shared" si="34"/>
        <v>-19.9</v>
      </c>
      <c r="R136" t="str">
        <f t="shared" si="35"/>
        <v>-23.2</v>
      </c>
      <c r="S136" t="str">
        <f t="shared" si="26"/>
        <v>-19,9</v>
      </c>
      <c r="T136" t="str">
        <f t="shared" si="27"/>
        <v>-23,2</v>
      </c>
      <c r="V136" s="6">
        <v>-19.899999999999999</v>
      </c>
      <c r="W136" s="6">
        <v>-23.2</v>
      </c>
    </row>
    <row r="137" spans="1:23" ht="15.75" thickBot="1" x14ac:dyDescent="0.3">
      <c r="A137" s="2" t="s">
        <v>61</v>
      </c>
      <c r="B137" s="2" t="s">
        <v>96</v>
      </c>
      <c r="C137" t="str">
        <f t="shared" si="30"/>
        <v xml:space="preserve">9.1 </v>
      </c>
      <c r="D137" t="str">
        <f t="shared" si="31"/>
        <v xml:space="preserve">9.2 </v>
      </c>
      <c r="E137" s="5" t="str">
        <f t="shared" si="32"/>
        <v xml:space="preserve">9,1 </v>
      </c>
      <c r="F137" s="5" t="str">
        <f t="shared" si="33"/>
        <v xml:space="preserve">9,2 </v>
      </c>
      <c r="H137" s="6">
        <v>9.1</v>
      </c>
      <c r="I137" s="6">
        <v>9.1999999999999993</v>
      </c>
      <c r="Q137" t="str">
        <f t="shared" si="34"/>
        <v>-26.9</v>
      </c>
      <c r="R137" t="str">
        <f t="shared" si="35"/>
        <v>-26.8</v>
      </c>
      <c r="S137" t="str">
        <f t="shared" si="26"/>
        <v>-26,9</v>
      </c>
      <c r="T137" t="str">
        <f t="shared" si="27"/>
        <v>-26,8</v>
      </c>
      <c r="V137" s="6">
        <v>-26.9</v>
      </c>
      <c r="W137" s="6">
        <v>-26.8</v>
      </c>
    </row>
    <row r="138" spans="1:23" ht="15.75" thickBot="1" x14ac:dyDescent="0.3">
      <c r="A138" s="2" t="s">
        <v>62</v>
      </c>
      <c r="B138" s="2" t="s">
        <v>62</v>
      </c>
      <c r="C138" t="str">
        <f t="shared" si="30"/>
        <v xml:space="preserve">8.9 </v>
      </c>
      <c r="D138" t="str">
        <f t="shared" si="31"/>
        <v xml:space="preserve">8.9 </v>
      </c>
      <c r="E138" s="5" t="str">
        <f t="shared" si="32"/>
        <v xml:space="preserve">8,9 </v>
      </c>
      <c r="F138" s="5" t="str">
        <f t="shared" si="33"/>
        <v xml:space="preserve">8,9 </v>
      </c>
      <c r="H138" s="6">
        <v>8.9</v>
      </c>
      <c r="I138" s="6">
        <v>8.9</v>
      </c>
      <c r="Q138" t="str">
        <f t="shared" si="34"/>
        <v>-27.1</v>
      </c>
      <c r="R138" t="str">
        <f t="shared" si="35"/>
        <v>-27.1</v>
      </c>
      <c r="S138" t="str">
        <f t="shared" si="26"/>
        <v>-27,1</v>
      </c>
      <c r="T138" t="str">
        <f t="shared" si="27"/>
        <v>-27,1</v>
      </c>
      <c r="V138" s="6">
        <v>-27.1</v>
      </c>
      <c r="W138" s="6">
        <v>-27.1</v>
      </c>
    </row>
    <row r="139" spans="1:23" ht="15.75" thickBot="1" x14ac:dyDescent="0.3">
      <c r="A139" s="2" t="s">
        <v>61</v>
      </c>
      <c r="B139" s="2" t="s">
        <v>61</v>
      </c>
      <c r="C139" t="str">
        <f t="shared" si="30"/>
        <v xml:space="preserve">9.1 </v>
      </c>
      <c r="D139" t="str">
        <f t="shared" si="31"/>
        <v xml:space="preserve">9.1 </v>
      </c>
      <c r="E139" s="5" t="str">
        <f t="shared" si="32"/>
        <v xml:space="preserve">9,1 </v>
      </c>
      <c r="F139" s="5" t="str">
        <f t="shared" si="33"/>
        <v xml:space="preserve">9,1 </v>
      </c>
      <c r="H139" s="6">
        <v>9.1</v>
      </c>
      <c r="I139" s="6">
        <v>9.1</v>
      </c>
      <c r="Q139" t="str">
        <f t="shared" si="34"/>
        <v>-26.9</v>
      </c>
      <c r="R139" t="str">
        <f t="shared" si="35"/>
        <v>-26.9</v>
      </c>
      <c r="S139" t="str">
        <f t="shared" si="26"/>
        <v>-26,9</v>
      </c>
      <c r="T139" t="str">
        <f t="shared" si="27"/>
        <v>-26,9</v>
      </c>
      <c r="V139" s="6">
        <v>-26.9</v>
      </c>
      <c r="W139" s="6">
        <v>-26.9</v>
      </c>
    </row>
  </sheetData>
  <mergeCells count="2">
    <mergeCell ref="H1:I1"/>
    <mergeCell ref="V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Kardos Milan (ME/EMC5-HU)</dc:creator>
  <cp:lastModifiedBy>FIXED-TERM Kardos Milan (ME/EMC5-HU)</cp:lastModifiedBy>
  <dcterms:created xsi:type="dcterms:W3CDTF">2024-11-04T21:18:40Z</dcterms:created>
  <dcterms:modified xsi:type="dcterms:W3CDTF">2024-11-08T14:35:33Z</dcterms:modified>
</cp:coreProperties>
</file>